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60" windowWidth="16610" windowHeight="9440" tabRatio="707"/>
  </bookViews>
  <sheets>
    <sheet name="基础资料" sheetId="39" r:id="rId1"/>
    <sheet name="计时明细" sheetId="95" state="hidden" r:id="rId2"/>
    <sheet name="选择类别" sheetId="38" state="hidden" r:id="rId3"/>
    <sheet name="01业务情况" sheetId="41" r:id="rId4"/>
    <sheet name="01资产负债表" sheetId="1" r:id="rId5"/>
    <sheet name="01利润表" sheetId="2" r:id="rId6"/>
    <sheet name="01现金流量表" sheetId="3" r:id="rId7"/>
    <sheet name="02业务情况" sheetId="42" state="hidden" r:id="rId8"/>
    <sheet name="02资产负债表" sheetId="4" state="hidden" r:id="rId9"/>
    <sheet name="02利润表" sheetId="7" state="hidden" r:id="rId10"/>
    <sheet name="02现金流量表" sheetId="6" state="hidden" r:id="rId11"/>
    <sheet name="03业务情况" sheetId="43" state="hidden" r:id="rId12"/>
    <sheet name="03资产负债表" sheetId="8" state="hidden" r:id="rId13"/>
    <sheet name="03利润表" sheetId="9" state="hidden" r:id="rId14"/>
    <sheet name="03现金流量表" sheetId="10" state="hidden" r:id="rId15"/>
    <sheet name="04业务情况" sheetId="44" state="hidden" r:id="rId16"/>
    <sheet name="04资产负债表" sheetId="11" state="hidden" r:id="rId17"/>
    <sheet name="04收入支出表" sheetId="12" state="hidden" r:id="rId18"/>
    <sheet name="05业务情况" sheetId="45" state="hidden" r:id="rId19"/>
    <sheet name="05资产负债表" sheetId="13" state="hidden" r:id="rId20"/>
    <sheet name="05收入费用总表" sheetId="14" state="hidden" r:id="rId21"/>
    <sheet name="05现金流量表" sheetId="15" state="hidden" r:id="rId22"/>
    <sheet name="06业务情况" sheetId="46" state="hidden" r:id="rId23"/>
    <sheet name="06资产负债表" sheetId="16" state="hidden" r:id="rId24"/>
    <sheet name="06收入支出总表" sheetId="17" state="hidden" r:id="rId25"/>
    <sheet name="07业务情况" sheetId="47" state="hidden" r:id="rId26"/>
    <sheet name="07资产负债表" sheetId="18" state="hidden" r:id="rId27"/>
    <sheet name="07收入支出表" sheetId="19" state="hidden" r:id="rId28"/>
    <sheet name="08业务情况" sheetId="48" state="hidden" r:id="rId29"/>
    <sheet name="08资产负债表" sheetId="20" state="hidden" r:id="rId30"/>
    <sheet name="08收入支出总表" sheetId="21" state="hidden" r:id="rId31"/>
    <sheet name="09业务情况" sheetId="49" state="hidden" r:id="rId32"/>
    <sheet name="09资产负债表" sheetId="22" state="hidden" r:id="rId33"/>
    <sheet name="09收入支出表（年报）" sheetId="23" state="hidden" r:id="rId34"/>
    <sheet name="10业务情况" sheetId="50" state="hidden" r:id="rId35"/>
    <sheet name="10资产负债表" sheetId="24" state="hidden" r:id="rId36"/>
    <sheet name="10收入支出表" sheetId="25" state="hidden" r:id="rId37"/>
    <sheet name="11业务情况" sheetId="51" state="hidden" r:id="rId38"/>
    <sheet name="11资产负债表" sheetId="26" state="hidden" r:id="rId39"/>
    <sheet name="11业务活动表" sheetId="27" state="hidden" r:id="rId40"/>
    <sheet name="11现金流量表" sheetId="28" state="hidden" r:id="rId41"/>
    <sheet name="12业务情况" sheetId="52" state="hidden" r:id="rId42"/>
    <sheet name="12资产负债表" sheetId="29" state="hidden" r:id="rId43"/>
    <sheet name="12收入支出表" sheetId="30" state="hidden" r:id="rId44"/>
    <sheet name="13业务情况" sheetId="53" state="hidden" r:id="rId45"/>
    <sheet name="13资产负债表" sheetId="31" state="hidden" r:id="rId46"/>
    <sheet name="13收支表" sheetId="32" state="hidden" r:id="rId47"/>
    <sheet name="14业务情况" sheetId="54" state="hidden" r:id="rId48"/>
    <sheet name="14资产负债表" sheetId="33" state="hidden" r:id="rId49"/>
    <sheet name="14收益及收益分配表" sheetId="34" state="hidden" r:id="rId50"/>
    <sheet name="15业务情况" sheetId="55" state="hidden" r:id="rId51"/>
    <sheet name="15资产负债表" sheetId="35" state="hidden" r:id="rId52"/>
    <sheet name="15盈余及盈余分配表" sheetId="36" state="hidden" r:id="rId53"/>
    <sheet name="16业务情况" sheetId="56" state="hidden" r:id="rId54"/>
    <sheet name="17业务情况" sheetId="94" state="hidden" r:id="rId55"/>
    <sheet name="18业务情况" sheetId="57" state="hidden" r:id="rId56"/>
    <sheet name="19业务情况" sheetId="58" state="hidden" r:id="rId57"/>
    <sheet name="20业务情况" sheetId="59" state="hidden" r:id="rId58"/>
    <sheet name="21业务情况" sheetId="97" state="hidden" r:id="rId59"/>
    <sheet name="21业务情况（删）" sheetId="60" state="hidden" r:id="rId60"/>
    <sheet name="22业务情况" sheetId="76" state="hidden" r:id="rId61"/>
    <sheet name="23业务情况" sheetId="61" state="hidden" r:id="rId62"/>
    <sheet name="24业务情况" sheetId="62" state="hidden" r:id="rId63"/>
    <sheet name="25业务情况" sheetId="63" state="hidden" r:id="rId64"/>
    <sheet name="26业务情况" sheetId="64" state="hidden" r:id="rId65"/>
    <sheet name="27业务情况" sheetId="65" state="hidden" r:id="rId66"/>
    <sheet name="26-业务情况" sheetId="66" state="hidden" r:id="rId67"/>
    <sheet name="32业务情况（其他鉴证业务——企业所得税汇算清缴鉴证）" sheetId="67" state="hidden" r:id="rId68"/>
    <sheet name="28业务情况-1" sheetId="68" state="hidden" r:id="rId69"/>
    <sheet name="28业务情况" sheetId="91" state="hidden" r:id="rId70"/>
    <sheet name="29业务情况" sheetId="96" state="hidden" r:id="rId71"/>
    <sheet name="29-业务情况" sheetId="93" state="hidden" r:id="rId72"/>
    <sheet name="28-业务情况" sheetId="69" state="hidden" r:id="rId73"/>
    <sheet name="31业务情况-" sheetId="71" state="hidden" r:id="rId74"/>
    <sheet name="32业务情况-" sheetId="72" state="hidden" r:id="rId75"/>
    <sheet name="32业务情况-删" sheetId="73" state="hidden" r:id="rId76"/>
    <sheet name="30业务情况" sheetId="79" state="hidden" r:id="rId77"/>
    <sheet name="31业务情况" sheetId="90" state="hidden" r:id="rId78"/>
    <sheet name="32业务情况" sheetId="82" state="hidden" r:id="rId79"/>
    <sheet name="30-1业务情况" sheetId="81" state="hidden" r:id="rId80"/>
    <sheet name="33业务情况" sheetId="87" state="hidden" r:id="rId81"/>
    <sheet name="34业务情况" sheetId="88" state="hidden" r:id="rId82"/>
    <sheet name="35业务情况" sheetId="70" state="hidden" r:id="rId83"/>
    <sheet name="36业务情况" sheetId="74" state="hidden" r:id="rId84"/>
    <sheet name="29-9业务情况" sheetId="77" state="hidden" r:id="rId85"/>
    <sheet name="37业务情况" sheetId="75" state="hidden" r:id="rId86"/>
    <sheet name="30-业务情况" sheetId="85" state="hidden" r:id="rId87"/>
    <sheet name="Sheet4" sheetId="92" state="hidden" r:id="rId88"/>
    <sheet name="Sheet1" sheetId="89" state="hidden" r:id="rId89"/>
  </sheets>
  <definedNames>
    <definedName name="客户行业类型" localSheetId="0">基础资料!#REF!</definedName>
  </definedNames>
  <calcPr calcId="144525" fullPrecision="0"/>
</workbook>
</file>

<file path=xl/calcChain.xml><?xml version="1.0" encoding="utf-8"?>
<calcChain xmlns="http://schemas.openxmlformats.org/spreadsheetml/2006/main">
  <c r="C28" i="10" l="1"/>
  <c r="C24" i="10"/>
  <c r="C23" i="10"/>
  <c r="C22" i="10"/>
  <c r="C26" i="10" s="1"/>
  <c r="C21" i="10"/>
  <c r="C18" i="10"/>
  <c r="C17" i="10"/>
  <c r="C16" i="10"/>
  <c r="C15" i="10"/>
  <c r="C14" i="10"/>
  <c r="C11" i="10"/>
  <c r="C10" i="10"/>
  <c r="C9" i="10"/>
  <c r="C8" i="10"/>
  <c r="C7" i="10"/>
  <c r="C6" i="10"/>
  <c r="C12" i="10" s="1"/>
  <c r="C27" i="10" s="1"/>
  <c r="C29" i="10" s="1"/>
  <c r="B38" i="6"/>
  <c r="B35" i="6"/>
  <c r="B34" i="6"/>
  <c r="B33" i="6"/>
  <c r="B31" i="6"/>
  <c r="B30" i="6"/>
  <c r="B29" i="6"/>
  <c r="B25" i="6"/>
  <c r="B24" i="6"/>
  <c r="B23" i="6"/>
  <c r="B21" i="6"/>
  <c r="B20" i="6"/>
  <c r="B22" i="6" s="1"/>
  <c r="B27" i="6" s="1"/>
  <c r="B19" i="6"/>
  <c r="B18" i="6"/>
  <c r="B14" i="6"/>
  <c r="B13" i="6"/>
  <c r="B12" i="6"/>
  <c r="B11" i="6"/>
  <c r="B9" i="6"/>
  <c r="B8" i="6"/>
  <c r="B10" i="6" s="1"/>
  <c r="B7" i="6"/>
  <c r="D35" i="9"/>
  <c r="C35" i="9"/>
  <c r="D28" i="9"/>
  <c r="C28" i="9"/>
  <c r="D27" i="9"/>
  <c r="C27" i="9"/>
  <c r="D26" i="9"/>
  <c r="C26" i="9"/>
  <c r="D24" i="9"/>
  <c r="C24" i="9"/>
  <c r="D22" i="9"/>
  <c r="C22" i="9"/>
  <c r="D21" i="9"/>
  <c r="C21" i="9"/>
  <c r="D20" i="9"/>
  <c r="C20" i="9"/>
  <c r="D18" i="9"/>
  <c r="C18" i="9"/>
  <c r="D15" i="9"/>
  <c r="C15" i="9"/>
  <c r="D7" i="9"/>
  <c r="C7" i="9"/>
  <c r="D6" i="9"/>
  <c r="D25" i="9" s="1"/>
  <c r="C6" i="9"/>
  <c r="D5" i="9"/>
  <c r="C5" i="9"/>
  <c r="D8" i="6"/>
  <c r="D24" i="6" s="1"/>
  <c r="C23" i="7"/>
  <c r="B23" i="7"/>
  <c r="C22" i="7"/>
  <c r="B22" i="7"/>
  <c r="C20" i="7"/>
  <c r="B20" i="7"/>
  <c r="C19" i="7"/>
  <c r="B19" i="7"/>
  <c r="C17" i="7"/>
  <c r="B17" i="7"/>
  <c r="C15" i="7"/>
  <c r="B15" i="7"/>
  <c r="C14" i="7"/>
  <c r="B14" i="7"/>
  <c r="C13" i="7"/>
  <c r="B13" i="7"/>
  <c r="C12" i="7"/>
  <c r="B12" i="7"/>
  <c r="C10" i="7"/>
  <c r="B10" i="7"/>
  <c r="C8" i="7"/>
  <c r="B8" i="7"/>
  <c r="C6" i="7"/>
  <c r="B6" i="7"/>
  <c r="B11" i="7" s="1"/>
  <c r="B16" i="7" s="1"/>
  <c r="B21" i="7" s="1"/>
  <c r="B24" i="7" s="1"/>
  <c r="H34" i="8"/>
  <c r="G34" i="8"/>
  <c r="D34" i="8"/>
  <c r="C34" i="8"/>
  <c r="H33" i="8"/>
  <c r="G33" i="8"/>
  <c r="D33" i="8"/>
  <c r="C33" i="8"/>
  <c r="H32" i="8"/>
  <c r="G32" i="8"/>
  <c r="D32" i="8"/>
  <c r="C32" i="8"/>
  <c r="H31" i="8"/>
  <c r="G31" i="8"/>
  <c r="D31" i="8"/>
  <c r="C31" i="8"/>
  <c r="D30" i="8"/>
  <c r="C30" i="8"/>
  <c r="D29" i="8"/>
  <c r="C29" i="8"/>
  <c r="D28" i="8"/>
  <c r="C28" i="8"/>
  <c r="D27" i="8"/>
  <c r="C27" i="8"/>
  <c r="D25" i="8"/>
  <c r="C25" i="8"/>
  <c r="D24" i="8"/>
  <c r="C24" i="8"/>
  <c r="D23" i="8"/>
  <c r="C23" i="8"/>
  <c r="D22" i="8"/>
  <c r="C22" i="8"/>
  <c r="C35" i="8" s="1"/>
  <c r="H21" i="8"/>
  <c r="G21" i="8"/>
  <c r="H19" i="8"/>
  <c r="G19" i="8"/>
  <c r="D19" i="8"/>
  <c r="C19" i="8"/>
  <c r="H18" i="8"/>
  <c r="G18" i="8"/>
  <c r="D17" i="8"/>
  <c r="C17" i="8"/>
  <c r="H15" i="8"/>
  <c r="G15" i="8"/>
  <c r="D15" i="8"/>
  <c r="C15" i="8"/>
  <c r="H14" i="8"/>
  <c r="G14" i="8"/>
  <c r="D13" i="8"/>
  <c r="C13" i="8"/>
  <c r="H12" i="8"/>
  <c r="G12" i="8"/>
  <c r="D12" i="8"/>
  <c r="C12" i="8"/>
  <c r="H11" i="8"/>
  <c r="G11" i="8"/>
  <c r="D11" i="8"/>
  <c r="C11" i="8"/>
  <c r="H10" i="8"/>
  <c r="G10" i="8"/>
  <c r="D10" i="8"/>
  <c r="C10" i="8"/>
  <c r="H9" i="8"/>
  <c r="G9" i="8"/>
  <c r="D9" i="8"/>
  <c r="C9" i="8"/>
  <c r="H8" i="8"/>
  <c r="G8" i="8"/>
  <c r="D8" i="8"/>
  <c r="C8" i="8"/>
  <c r="H7" i="8"/>
  <c r="G7" i="8"/>
  <c r="D7" i="8"/>
  <c r="C7" i="8"/>
  <c r="H6" i="8"/>
  <c r="G6" i="8"/>
  <c r="G16" i="8" s="1"/>
  <c r="G23" i="8" s="1"/>
  <c r="G36" i="8" s="1"/>
  <c r="D6" i="8"/>
  <c r="C6" i="8"/>
  <c r="C42" i="4"/>
  <c r="B42" i="4"/>
  <c r="F41" i="4"/>
  <c r="E41" i="4"/>
  <c r="F40" i="4"/>
  <c r="E40" i="4"/>
  <c r="F39" i="4"/>
  <c r="E39" i="4"/>
  <c r="F38" i="4"/>
  <c r="E38" i="4"/>
  <c r="C38" i="4"/>
  <c r="B38" i="4"/>
  <c r="C37" i="4"/>
  <c r="B37" i="4"/>
  <c r="F36" i="4"/>
  <c r="E36" i="4"/>
  <c r="C36" i="4"/>
  <c r="B36" i="4"/>
  <c r="B39" i="4" s="1"/>
  <c r="F35" i="4"/>
  <c r="E35" i="4"/>
  <c r="C33" i="4"/>
  <c r="B33" i="4"/>
  <c r="C32" i="4"/>
  <c r="B32" i="4"/>
  <c r="F31" i="4"/>
  <c r="E31" i="4"/>
  <c r="C31" i="4"/>
  <c r="B31" i="4"/>
  <c r="C29" i="4"/>
  <c r="B29" i="4"/>
  <c r="F28" i="4"/>
  <c r="E28" i="4"/>
  <c r="F27" i="4"/>
  <c r="E27" i="4"/>
  <c r="C27" i="4"/>
  <c r="B27" i="4"/>
  <c r="F26" i="4"/>
  <c r="E26" i="4"/>
  <c r="C26" i="4"/>
  <c r="B26" i="4"/>
  <c r="F25" i="4"/>
  <c r="E25" i="4"/>
  <c r="E29" i="4" s="1"/>
  <c r="F24" i="4"/>
  <c r="E24" i="4"/>
  <c r="C23" i="4"/>
  <c r="B23" i="4"/>
  <c r="B24" i="4" s="1"/>
  <c r="C22" i="4"/>
  <c r="B22" i="4"/>
  <c r="F20" i="4"/>
  <c r="E20" i="4"/>
  <c r="E21" i="4" s="1"/>
  <c r="E32" i="4" s="1"/>
  <c r="F19" i="4"/>
  <c r="E19" i="4"/>
  <c r="C19" i="4"/>
  <c r="B19" i="4"/>
  <c r="F18" i="4"/>
  <c r="E18" i="4"/>
  <c r="C18" i="4"/>
  <c r="B18" i="4"/>
  <c r="F16" i="4"/>
  <c r="E16" i="4"/>
  <c r="C16" i="4"/>
  <c r="B16" i="4"/>
  <c r="F14" i="4"/>
  <c r="E14" i="4"/>
  <c r="C14" i="4"/>
  <c r="B14" i="4"/>
  <c r="F13" i="4"/>
  <c r="E13" i="4"/>
  <c r="C13" i="4"/>
  <c r="B13" i="4"/>
  <c r="F12" i="4"/>
  <c r="E12" i="4"/>
  <c r="C12" i="4"/>
  <c r="B12" i="4"/>
  <c r="F11" i="4"/>
  <c r="E11" i="4"/>
  <c r="C11" i="4"/>
  <c r="B11" i="4"/>
  <c r="F10" i="4"/>
  <c r="E10" i="4"/>
  <c r="C10" i="4"/>
  <c r="B10" i="4"/>
  <c r="F9" i="4"/>
  <c r="E9" i="4"/>
  <c r="C9" i="4"/>
  <c r="B9" i="4"/>
  <c r="F8" i="4"/>
  <c r="E8" i="4"/>
  <c r="C8" i="4"/>
  <c r="B8" i="4"/>
  <c r="F7" i="4"/>
  <c r="E7" i="4"/>
  <c r="C7" i="4"/>
  <c r="B7" i="4"/>
  <c r="B20" i="4" s="1"/>
  <c r="D26" i="10"/>
  <c r="D19" i="10"/>
  <c r="C19" i="10"/>
  <c r="D12" i="10"/>
  <c r="D27" i="10" s="1"/>
  <c r="D29" i="10" s="1"/>
  <c r="C25" i="9"/>
  <c r="H35" i="8"/>
  <c r="G35" i="8"/>
  <c r="H22" i="8"/>
  <c r="G22" i="8"/>
  <c r="H16" i="8"/>
  <c r="H23" i="8" s="1"/>
  <c r="H36" i="8" s="1"/>
  <c r="D26" i="8"/>
  <c r="C26" i="8"/>
  <c r="D35" i="8"/>
  <c r="D14" i="8"/>
  <c r="C14" i="8"/>
  <c r="C20" i="8" s="1"/>
  <c r="D20" i="8"/>
  <c r="D36" i="8" s="1"/>
  <c r="B36" i="6"/>
  <c r="B32" i="6"/>
  <c r="B26" i="6"/>
  <c r="B15" i="6"/>
  <c r="C11" i="7"/>
  <c r="C16" i="7" s="1"/>
  <c r="C21" i="7" s="1"/>
  <c r="C24" i="7" s="1"/>
  <c r="F37" i="4"/>
  <c r="F42" i="4" s="1"/>
  <c r="E37" i="4"/>
  <c r="F29" i="4"/>
  <c r="F21" i="4"/>
  <c r="F32" i="4" s="1"/>
  <c r="F43" i="4" s="1"/>
  <c r="C39" i="4"/>
  <c r="C28" i="4"/>
  <c r="C30" i="4" s="1"/>
  <c r="C34" i="4" s="1"/>
  <c r="B28" i="4"/>
  <c r="C24" i="4"/>
  <c r="C20" i="4"/>
  <c r="B43" i="4" l="1"/>
  <c r="C36" i="8"/>
  <c r="B30" i="4"/>
  <c r="B34" i="4" s="1"/>
  <c r="E42" i="4"/>
  <c r="E43" i="4" s="1"/>
  <c r="B37" i="6"/>
  <c r="C34" i="9"/>
  <c r="C36" i="9" s="1"/>
  <c r="D34" i="9"/>
  <c r="D36" i="9" s="1"/>
  <c r="B16" i="6"/>
  <c r="B39" i="6" s="1"/>
  <c r="C43" i="4"/>
  <c r="A3" i="28" l="1"/>
  <c r="A5" i="28"/>
  <c r="A3" i="27"/>
  <c r="A5" i="27"/>
  <c r="C25" i="26"/>
  <c r="B25" i="26"/>
  <c r="A3" i="26"/>
  <c r="A4" i="26"/>
  <c r="B3" i="12"/>
  <c r="A3" i="12"/>
  <c r="C3" i="11"/>
  <c r="A3" i="11"/>
  <c r="A4" i="6"/>
  <c r="A2" i="6"/>
  <c r="A2" i="7"/>
  <c r="A2" i="4"/>
  <c r="B3" i="10"/>
  <c r="D3" i="8"/>
  <c r="A3" i="10"/>
  <c r="A3" i="9"/>
  <c r="A3" i="8"/>
  <c r="D36" i="6"/>
  <c r="D39" i="6" s="1"/>
  <c r="D35" i="6"/>
  <c r="A4" i="4"/>
  <c r="B3" i="39"/>
  <c r="A3" i="1"/>
  <c r="A3" i="3"/>
  <c r="A3" i="2"/>
  <c r="H30" i="3"/>
  <c r="G31" i="3"/>
  <c r="G30" i="3"/>
  <c r="H31" i="2"/>
  <c r="G31" i="2"/>
  <c r="H30" i="2"/>
  <c r="G30" i="2"/>
  <c r="H23" i="2"/>
  <c r="G23" i="2"/>
  <c r="H70" i="1"/>
  <c r="G70" i="1"/>
  <c r="H32" i="1"/>
  <c r="G32" i="1"/>
  <c r="F6" i="36"/>
  <c r="F9" i="36"/>
  <c r="F13" i="36"/>
  <c r="C10" i="36"/>
  <c r="C13" i="36"/>
  <c r="F26" i="35"/>
  <c r="E26" i="35"/>
  <c r="F17" i="35"/>
  <c r="E17" i="35"/>
  <c r="F11" i="35"/>
  <c r="F18" i="35"/>
  <c r="F27" i="35"/>
  <c r="E11" i="35"/>
  <c r="E18" i="35"/>
  <c r="E27" i="35"/>
  <c r="C20" i="35"/>
  <c r="B20" i="35"/>
  <c r="C16" i="35"/>
  <c r="C26" i="35"/>
  <c r="B16" i="35"/>
  <c r="B26" i="35"/>
  <c r="C9" i="35"/>
  <c r="C27" i="35"/>
  <c r="B9" i="35"/>
  <c r="D22" i="32"/>
  <c r="C22" i="32"/>
  <c r="D15" i="32"/>
  <c r="D14" i="32"/>
  <c r="C15" i="32"/>
  <c r="C14" i="32"/>
  <c r="D5" i="32"/>
  <c r="C5" i="32"/>
  <c r="F13" i="31"/>
  <c r="E13" i="31"/>
  <c r="F7" i="31"/>
  <c r="F14" i="31"/>
  <c r="E7" i="31"/>
  <c r="E14" i="31"/>
  <c r="C14" i="31"/>
  <c r="B14" i="31"/>
  <c r="C18" i="25"/>
  <c r="C16" i="25"/>
  <c r="B18" i="25"/>
  <c r="B16" i="25"/>
  <c r="C11" i="25"/>
  <c r="B11" i="25"/>
  <c r="C5" i="25"/>
  <c r="B5" i="25"/>
  <c r="F35" i="24"/>
  <c r="E35" i="24"/>
  <c r="F22" i="24"/>
  <c r="E22" i="24"/>
  <c r="F18" i="24"/>
  <c r="F23" i="24"/>
  <c r="F36" i="24"/>
  <c r="E18" i="24"/>
  <c r="E23" i="24"/>
  <c r="E36" i="24"/>
  <c r="C22" i="24"/>
  <c r="B22" i="24"/>
  <c r="C18" i="24"/>
  <c r="C26" i="24"/>
  <c r="C36" i="24"/>
  <c r="B18" i="24"/>
  <c r="B26" i="24"/>
  <c r="B36" i="24"/>
  <c r="C15" i="24"/>
  <c r="B15" i="24"/>
  <c r="I15" i="23"/>
  <c r="H15" i="23"/>
  <c r="I6" i="23"/>
  <c r="H6" i="23"/>
  <c r="F18" i="23"/>
  <c r="F14" i="23"/>
  <c r="E14" i="23"/>
  <c r="E18" i="23"/>
  <c r="C14" i="23"/>
  <c r="C18" i="23"/>
  <c r="B6" i="23"/>
  <c r="B14" i="23"/>
  <c r="B18" i="23"/>
  <c r="F32" i="22"/>
  <c r="E32" i="22"/>
  <c r="F19" i="22"/>
  <c r="E19" i="22"/>
  <c r="F13" i="22"/>
  <c r="F20" i="22"/>
  <c r="E13" i="22"/>
  <c r="E20" i="22"/>
  <c r="C20" i="22"/>
  <c r="C33" i="22"/>
  <c r="B20" i="22"/>
  <c r="B33" i="22"/>
  <c r="C12" i="22"/>
  <c r="B12" i="22"/>
  <c r="C39" i="21"/>
  <c r="C29" i="21"/>
  <c r="C28" i="21"/>
  <c r="C22" i="21"/>
  <c r="D10" i="21"/>
  <c r="C10" i="21"/>
  <c r="D6" i="21"/>
  <c r="C6" i="21"/>
  <c r="C5" i="21"/>
  <c r="D5" i="21"/>
  <c r="C26" i="20"/>
  <c r="B26" i="20"/>
  <c r="C15" i="20"/>
  <c r="C34" i="20"/>
  <c r="B15" i="20"/>
  <c r="B34" i="20"/>
  <c r="D40" i="15"/>
  <c r="C40" i="15"/>
  <c r="D36" i="15"/>
  <c r="D41" i="15"/>
  <c r="C36" i="15"/>
  <c r="C41" i="15"/>
  <c r="D30" i="15"/>
  <c r="C30" i="15"/>
  <c r="D25" i="15"/>
  <c r="D31" i="15"/>
  <c r="C25" i="15"/>
  <c r="C31" i="15"/>
  <c r="D18" i="15"/>
  <c r="C18" i="15"/>
  <c r="D11" i="15"/>
  <c r="D19" i="15"/>
  <c r="C11" i="15"/>
  <c r="C19" i="15"/>
  <c r="C23" i="14"/>
  <c r="B23" i="14"/>
  <c r="C9" i="14"/>
  <c r="C12" i="14"/>
  <c r="C14" i="14"/>
  <c r="C20" i="14"/>
  <c r="B9" i="14"/>
  <c r="B12" i="14"/>
  <c r="B14" i="14"/>
  <c r="B20" i="14"/>
  <c r="F32" i="13"/>
  <c r="E32" i="13"/>
  <c r="F22" i="13"/>
  <c r="E22" i="13"/>
  <c r="F18" i="13"/>
  <c r="F23" i="13"/>
  <c r="F33" i="13"/>
  <c r="E18" i="13"/>
  <c r="E23" i="13"/>
  <c r="E33" i="13"/>
  <c r="C26" i="13"/>
  <c r="B26" i="13"/>
  <c r="C21" i="13"/>
  <c r="C31" i="13"/>
  <c r="C33" i="13"/>
  <c r="B21" i="13"/>
  <c r="B31" i="13"/>
  <c r="B33" i="13"/>
  <c r="C17" i="13"/>
  <c r="B17" i="13"/>
  <c r="C24" i="12"/>
  <c r="C26" i="12"/>
  <c r="C29" i="12"/>
  <c r="B24" i="12"/>
  <c r="B26" i="12"/>
  <c r="B29" i="12"/>
  <c r="C20" i="12"/>
  <c r="B20" i="12"/>
  <c r="C15" i="12"/>
  <c r="B15" i="12"/>
  <c r="C9" i="12"/>
  <c r="B9" i="12"/>
  <c r="C8" i="12"/>
  <c r="B8" i="12"/>
  <c r="C5" i="12"/>
  <c r="B5" i="12"/>
  <c r="E32" i="11"/>
  <c r="F29" i="11"/>
  <c r="F32" i="11"/>
  <c r="F33" i="11"/>
  <c r="E29" i="11"/>
  <c r="F20" i="11"/>
  <c r="E20" i="11"/>
  <c r="F16" i="11"/>
  <c r="F21" i="11"/>
  <c r="E16" i="11"/>
  <c r="E21" i="11"/>
  <c r="C22" i="11"/>
  <c r="B22" i="11"/>
  <c r="B26" i="11"/>
  <c r="B33" i="11"/>
  <c r="C18" i="11"/>
  <c r="C26" i="11"/>
  <c r="C33" i="11"/>
  <c r="B18" i="11"/>
  <c r="C15" i="11"/>
  <c r="B15" i="11"/>
  <c r="H32" i="3"/>
  <c r="G32" i="3"/>
  <c r="H27" i="3"/>
  <c r="G27" i="3"/>
  <c r="H22" i="3"/>
  <c r="H28" i="3"/>
  <c r="G22" i="3"/>
  <c r="G28" i="3"/>
  <c r="H14" i="3"/>
  <c r="G14" i="3"/>
  <c r="H8" i="3"/>
  <c r="H15" i="3"/>
  <c r="G8" i="3"/>
  <c r="G15" i="3"/>
  <c r="D29" i="3"/>
  <c r="C29" i="3"/>
  <c r="D19" i="3"/>
  <c r="D30" i="3"/>
  <c r="C19" i="3"/>
  <c r="C30" i="3"/>
  <c r="D13" i="2"/>
  <c r="D12" i="2"/>
  <c r="H10" i="2"/>
  <c r="H20" i="2"/>
  <c r="H22" i="2"/>
  <c r="C13" i="2"/>
  <c r="C12" i="2"/>
  <c r="G10" i="2"/>
  <c r="G20" i="2"/>
  <c r="G22" i="2"/>
  <c r="D6" i="2"/>
  <c r="D5" i="2"/>
  <c r="C6" i="2"/>
  <c r="C5" i="2"/>
  <c r="H54" i="1"/>
  <c r="H67" i="1"/>
  <c r="H69" i="1"/>
  <c r="G54" i="1"/>
  <c r="G67" i="1"/>
  <c r="G69" i="1"/>
  <c r="H42" i="1"/>
  <c r="G42" i="1"/>
  <c r="H43" i="1"/>
  <c r="G43" i="1"/>
  <c r="D36" i="1"/>
  <c r="D38" i="1"/>
  <c r="D51" i="1"/>
  <c r="C36" i="1"/>
  <c r="C38" i="1"/>
  <c r="C51" i="1"/>
  <c r="D26" i="1"/>
  <c r="C26" i="1"/>
  <c r="B27" i="35"/>
  <c r="C20" i="32"/>
  <c r="D20" i="32"/>
  <c r="C21" i="32"/>
  <c r="D21" i="32"/>
  <c r="F33" i="22"/>
  <c r="E33" i="22"/>
  <c r="E33" i="11"/>
  <c r="C70" i="1"/>
  <c r="D70" i="1"/>
  <c r="E8" i="30"/>
  <c r="C8" i="30"/>
  <c r="D27" i="17"/>
  <c r="C27" i="17"/>
  <c r="F16" i="34"/>
  <c r="F9" i="34"/>
  <c r="F6" i="34"/>
  <c r="C16" i="34"/>
  <c r="C11" i="34"/>
  <c r="H24" i="33"/>
  <c r="G24" i="33"/>
  <c r="H23" i="33"/>
  <c r="G23" i="33"/>
  <c r="H15" i="33"/>
  <c r="G15" i="33"/>
  <c r="H14" i="33"/>
  <c r="G14" i="33"/>
  <c r="H10" i="33"/>
  <c r="G10" i="33"/>
  <c r="D23" i="33"/>
  <c r="D20" i="33"/>
  <c r="D14" i="33"/>
  <c r="C24" i="33"/>
  <c r="C23" i="33"/>
  <c r="C20" i="33"/>
  <c r="C14" i="33"/>
  <c r="D24" i="33"/>
  <c r="D10" i="33"/>
  <c r="C10" i="33"/>
  <c r="E54" i="30"/>
  <c r="C54" i="30"/>
  <c r="E46" i="30"/>
  <c r="C46" i="30"/>
  <c r="E41" i="30"/>
  <c r="C41" i="30"/>
  <c r="E35" i="30"/>
  <c r="C35" i="30"/>
  <c r="E28" i="30"/>
  <c r="C28" i="30"/>
  <c r="E23" i="30"/>
  <c r="E21" i="30"/>
  <c r="C21" i="30"/>
  <c r="C23" i="30"/>
  <c r="H25" i="29"/>
  <c r="G25" i="29"/>
  <c r="H23" i="29"/>
  <c r="G23" i="29"/>
  <c r="H14" i="29"/>
  <c r="G14" i="29"/>
  <c r="D25" i="29"/>
  <c r="C25" i="29"/>
  <c r="F29" i="18"/>
  <c r="C56" i="19"/>
  <c r="C53" i="19"/>
  <c r="C51" i="19"/>
  <c r="B56" i="19"/>
  <c r="B53" i="19"/>
  <c r="B51" i="19"/>
  <c r="C49" i="19"/>
  <c r="B49" i="19"/>
  <c r="C48" i="19"/>
  <c r="B48" i="19"/>
  <c r="C47" i="19"/>
  <c r="B47" i="19"/>
  <c r="C46" i="19"/>
  <c r="C31" i="19"/>
  <c r="B46" i="19"/>
  <c r="B31" i="19"/>
  <c r="C20" i="19"/>
  <c r="B20" i="19"/>
  <c r="C9" i="19"/>
  <c r="C7" i="19"/>
  <c r="C5" i="19"/>
  <c r="B9" i="19"/>
  <c r="B7" i="19"/>
  <c r="B5" i="19"/>
  <c r="E64" i="30"/>
  <c r="E65" i="30"/>
  <c r="C64" i="30"/>
  <c r="C65" i="30"/>
  <c r="C19" i="19"/>
  <c r="B19" i="19"/>
  <c r="E33" i="18"/>
  <c r="F32" i="18"/>
  <c r="F33" i="18"/>
  <c r="F21" i="18"/>
  <c r="E21" i="18"/>
  <c r="F20" i="18"/>
  <c r="E20" i="18"/>
  <c r="E32" i="18"/>
  <c r="E29" i="18"/>
  <c r="F16" i="18"/>
  <c r="E16" i="18"/>
  <c r="C33" i="18"/>
  <c r="C27" i="18"/>
  <c r="C23" i="18"/>
  <c r="B33" i="18"/>
  <c r="B27" i="18"/>
  <c r="B23" i="18"/>
  <c r="C19" i="18"/>
  <c r="B19" i="18"/>
  <c r="C16" i="18"/>
  <c r="B16" i="18"/>
  <c r="D19" i="17"/>
  <c r="D16" i="17"/>
  <c r="C19" i="17"/>
  <c r="C16" i="17"/>
  <c r="D10" i="17"/>
  <c r="C10" i="17"/>
  <c r="D5" i="17"/>
  <c r="C5" i="17"/>
  <c r="B16" i="27"/>
  <c r="B12" i="16"/>
  <c r="B30" i="27"/>
  <c r="G16" i="27"/>
  <c r="D16" i="27"/>
  <c r="F16" i="26"/>
  <c r="E16" i="26"/>
  <c r="C16" i="27"/>
  <c r="F16" i="27"/>
  <c r="C30" i="27"/>
  <c r="F30" i="27"/>
  <c r="F34" i="27"/>
  <c r="C34" i="27"/>
  <c r="B15" i="26"/>
  <c r="B20" i="26"/>
  <c r="B29" i="26"/>
  <c r="B34" i="26"/>
  <c r="E23" i="26"/>
  <c r="E16" i="27"/>
  <c r="C15" i="26"/>
  <c r="C20" i="26"/>
  <c r="C29" i="26"/>
  <c r="C34" i="26"/>
  <c r="F23" i="26"/>
  <c r="F30" i="26"/>
  <c r="F39" i="26"/>
  <c r="B34" i="27"/>
  <c r="E30" i="26"/>
  <c r="E39" i="26"/>
  <c r="E30" i="27"/>
  <c r="G30" i="27"/>
  <c r="G34" i="27"/>
  <c r="D30" i="27"/>
  <c r="D34" i="27"/>
  <c r="B39" i="28"/>
  <c r="B35" i="28"/>
  <c r="B30" i="28"/>
  <c r="B26" i="28"/>
  <c r="B19" i="28"/>
  <c r="B14" i="28"/>
  <c r="F33" i="20"/>
  <c r="E33" i="20"/>
  <c r="F21" i="20"/>
  <c r="E21" i="20"/>
  <c r="F16" i="20"/>
  <c r="E16" i="20"/>
  <c r="F25" i="16"/>
  <c r="E25" i="16"/>
  <c r="C18" i="16"/>
  <c r="B18" i="16"/>
  <c r="F15" i="16"/>
  <c r="E15" i="16"/>
  <c r="C12" i="16"/>
  <c r="F22" i="20"/>
  <c r="B39" i="26"/>
  <c r="C39" i="26"/>
  <c r="E34" i="27"/>
  <c r="B40" i="28"/>
  <c r="B31" i="28"/>
  <c r="B20" i="28"/>
  <c r="F34" i="20"/>
  <c r="E22" i="20"/>
  <c r="E34" i="20"/>
  <c r="F26" i="16"/>
  <c r="E26" i="16"/>
  <c r="C26" i="16"/>
  <c r="B26" i="16"/>
  <c r="C9" i="91"/>
</calcChain>
</file>

<file path=xl/sharedStrings.xml><?xml version="1.0" encoding="utf-8"?>
<sst xmlns="http://schemas.openxmlformats.org/spreadsheetml/2006/main" count="2920" uniqueCount="2175">
  <si>
    <t xml:space="preserve"> </t>
  </si>
  <si>
    <t>编制单位：</t>
  </si>
  <si>
    <t>项            目</t>
  </si>
  <si>
    <t>行次</t>
  </si>
  <si>
    <t>1</t>
  </si>
  <si>
    <t>—</t>
  </si>
  <si>
    <t>流动负债：</t>
  </si>
  <si>
    <t xml:space="preserve">        货币资金</t>
  </si>
  <si>
    <t>2</t>
  </si>
  <si>
    <t xml:space="preserve">        短期借款</t>
  </si>
  <si>
    <t>67</t>
  </si>
  <si>
    <t>3</t>
  </si>
  <si>
    <t>68</t>
  </si>
  <si>
    <t>4</t>
  </si>
  <si>
    <t>69</t>
  </si>
  <si>
    <t>5</t>
  </si>
  <si>
    <t>70</t>
  </si>
  <si>
    <t>6</t>
  </si>
  <si>
    <t>71</t>
  </si>
  <si>
    <t>7</t>
  </si>
  <si>
    <t xml:space="preserve">        应付票据</t>
  </si>
  <si>
    <t>72</t>
  </si>
  <si>
    <t xml:space="preserve">        预付款项</t>
  </si>
  <si>
    <t>8</t>
  </si>
  <si>
    <t>73</t>
  </si>
  <si>
    <t>9</t>
  </si>
  <si>
    <t xml:space="preserve">        预收款项</t>
  </si>
  <si>
    <t>74</t>
  </si>
  <si>
    <t>10</t>
  </si>
  <si>
    <t>75</t>
  </si>
  <si>
    <t>11</t>
  </si>
  <si>
    <t>76</t>
  </si>
  <si>
    <t xml:space="preserve">        应收利息</t>
  </si>
  <si>
    <t>12</t>
  </si>
  <si>
    <t>77</t>
  </si>
  <si>
    <t>13</t>
  </si>
  <si>
    <t>78</t>
  </si>
  <si>
    <t xml:space="preserve">        其他应收款</t>
  </si>
  <si>
    <t>14</t>
  </si>
  <si>
    <t>79</t>
  </si>
  <si>
    <t>15</t>
  </si>
  <si>
    <t>80</t>
  </si>
  <si>
    <t xml:space="preserve">        存货</t>
  </si>
  <si>
    <t>16</t>
  </si>
  <si>
    <t>81</t>
  </si>
  <si>
    <t>17</t>
  </si>
  <si>
    <t>82</t>
  </si>
  <si>
    <t>18</t>
  </si>
  <si>
    <t>83</t>
  </si>
  <si>
    <t>19</t>
  </si>
  <si>
    <t>84</t>
  </si>
  <si>
    <t>20</t>
  </si>
  <si>
    <t xml:space="preserve">        其他应付款</t>
  </si>
  <si>
    <t>85</t>
  </si>
  <si>
    <t xml:space="preserve">        其他流动资产</t>
  </si>
  <si>
    <t>21</t>
  </si>
  <si>
    <t>86</t>
  </si>
  <si>
    <t>22</t>
  </si>
  <si>
    <t>87</t>
  </si>
  <si>
    <t>23</t>
  </si>
  <si>
    <t>88</t>
  </si>
  <si>
    <t>24</t>
  </si>
  <si>
    <t>89</t>
  </si>
  <si>
    <t>25</t>
  </si>
  <si>
    <t>90</t>
  </si>
  <si>
    <t>26</t>
  </si>
  <si>
    <t>91</t>
  </si>
  <si>
    <t>27</t>
  </si>
  <si>
    <t xml:space="preserve">        其他流动负债</t>
  </si>
  <si>
    <t>92</t>
  </si>
  <si>
    <t>28</t>
  </si>
  <si>
    <t>流动负债合计</t>
  </si>
  <si>
    <t>93</t>
  </si>
  <si>
    <t>29</t>
  </si>
  <si>
    <t>94</t>
  </si>
  <si>
    <t>30</t>
  </si>
  <si>
    <t>95</t>
  </si>
  <si>
    <t>31</t>
  </si>
  <si>
    <t xml:space="preserve">        应付债券</t>
  </si>
  <si>
    <t>96</t>
  </si>
  <si>
    <t>32</t>
  </si>
  <si>
    <t xml:space="preserve">        长期应付款</t>
  </si>
  <si>
    <t>97</t>
  </si>
  <si>
    <t>33</t>
  </si>
  <si>
    <t xml:space="preserve">        专项应付款</t>
  </si>
  <si>
    <t>98</t>
  </si>
  <si>
    <t>34</t>
  </si>
  <si>
    <t xml:space="preserve">        预计负债</t>
  </si>
  <si>
    <t>99</t>
  </si>
  <si>
    <t>35</t>
  </si>
  <si>
    <t>100</t>
  </si>
  <si>
    <t>36</t>
  </si>
  <si>
    <t xml:space="preserve">        其他非流动负债</t>
  </si>
  <si>
    <t>101</t>
  </si>
  <si>
    <t>37</t>
  </si>
  <si>
    <t>102</t>
  </si>
  <si>
    <t>38</t>
  </si>
  <si>
    <t>非流动负债合计</t>
  </si>
  <si>
    <t>103</t>
  </si>
  <si>
    <t>39</t>
  </si>
  <si>
    <t>负 债 合 计</t>
  </si>
  <si>
    <t>104</t>
  </si>
  <si>
    <t>40</t>
  </si>
  <si>
    <t>所有者权益（或股东权益）：</t>
  </si>
  <si>
    <t>105</t>
  </si>
  <si>
    <t>41</t>
  </si>
  <si>
    <t>106</t>
  </si>
  <si>
    <t>42</t>
  </si>
  <si>
    <t xml:space="preserve">            国家资本</t>
  </si>
  <si>
    <t>107</t>
  </si>
  <si>
    <t>43</t>
  </si>
  <si>
    <t>108</t>
  </si>
  <si>
    <t>44</t>
  </si>
  <si>
    <t xml:space="preserve">            法人资本</t>
  </si>
  <si>
    <t>109</t>
  </si>
  <si>
    <t>45</t>
  </si>
  <si>
    <t>110</t>
  </si>
  <si>
    <t>46</t>
  </si>
  <si>
    <t>111</t>
  </si>
  <si>
    <t>非流动资产合计</t>
  </si>
  <si>
    <t>47</t>
  </si>
  <si>
    <t xml:space="preserve">            个人资本</t>
  </si>
  <si>
    <t>112</t>
  </si>
  <si>
    <t>48</t>
  </si>
  <si>
    <t xml:space="preserve">            外商资本</t>
  </si>
  <si>
    <t>113</t>
  </si>
  <si>
    <t>49</t>
  </si>
  <si>
    <t>114</t>
  </si>
  <si>
    <t>50</t>
  </si>
  <si>
    <t>115</t>
  </si>
  <si>
    <t>51</t>
  </si>
  <si>
    <t xml:space="preserve">        资本公积</t>
  </si>
  <si>
    <t>116</t>
  </si>
  <si>
    <t>52</t>
  </si>
  <si>
    <t xml:space="preserve">        减：库存股</t>
  </si>
  <si>
    <t>117</t>
  </si>
  <si>
    <t>53</t>
  </si>
  <si>
    <t>118</t>
  </si>
  <si>
    <t>54</t>
  </si>
  <si>
    <t>119</t>
  </si>
  <si>
    <t>55</t>
  </si>
  <si>
    <t xml:space="preserve">        盈余公积</t>
  </si>
  <si>
    <t>120</t>
  </si>
  <si>
    <t>56</t>
  </si>
  <si>
    <t>121</t>
  </si>
  <si>
    <t>57</t>
  </si>
  <si>
    <t>122</t>
  </si>
  <si>
    <t>58</t>
  </si>
  <si>
    <t>123</t>
  </si>
  <si>
    <t>59</t>
  </si>
  <si>
    <t>124</t>
  </si>
  <si>
    <t>60</t>
  </si>
  <si>
    <t>125</t>
  </si>
  <si>
    <t>61</t>
  </si>
  <si>
    <t>126</t>
  </si>
  <si>
    <t>62</t>
  </si>
  <si>
    <t xml:space="preserve">        未分配利润</t>
  </si>
  <si>
    <t>127</t>
  </si>
  <si>
    <t>63</t>
  </si>
  <si>
    <t>128</t>
  </si>
  <si>
    <t>64</t>
  </si>
  <si>
    <t>129</t>
  </si>
  <si>
    <t>65</t>
  </si>
  <si>
    <t>所有者权益合计</t>
  </si>
  <si>
    <t>130</t>
  </si>
  <si>
    <t>66</t>
  </si>
  <si>
    <t>131</t>
  </si>
  <si>
    <t>金额单位：元</t>
  </si>
  <si>
    <t>本期金额</t>
  </si>
  <si>
    <t>上期金额</t>
  </si>
  <si>
    <t>项           目</t>
  </si>
  <si>
    <t>本期金额</t>
    <phoneticPr fontId="3" type="noConversion"/>
  </si>
  <si>
    <t>营业总收入</t>
    <phoneticPr fontId="3" type="noConversion"/>
  </si>
  <si>
    <t xml:space="preserve">          其他</t>
  </si>
  <si>
    <t xml:space="preserve">    其中：营业收入</t>
  </si>
  <si>
    <t xml:space="preserve">    加：公允价值变动损益（损失以“-”号填列）</t>
    <phoneticPr fontId="3" type="noConversion"/>
  </si>
  <si>
    <t xml:space="preserve">         其中：主营业务收入</t>
  </si>
  <si>
    <t xml:space="preserve">        投资收益（损失以“-”号填列）</t>
  </si>
  <si>
    <t xml:space="preserve">               其他业务收入</t>
  </si>
  <si>
    <t xml:space="preserve">       △利息收入</t>
  </si>
  <si>
    <t xml:space="preserve">      △汇兑收益（损失以“-”号填列）</t>
  </si>
  <si>
    <t xml:space="preserve">       △已赚保费</t>
  </si>
  <si>
    <t>营业利润</t>
    <phoneticPr fontId="3" type="noConversion"/>
  </si>
  <si>
    <t xml:space="preserve">       △手续费及佣金收入</t>
  </si>
  <si>
    <t xml:space="preserve">    加：营业外收入</t>
    <phoneticPr fontId="3" type="noConversion"/>
  </si>
  <si>
    <t>营业总成本</t>
    <phoneticPr fontId="3" type="noConversion"/>
  </si>
  <si>
    <t xml:space="preserve">        其中：非流动资产处置利得</t>
  </si>
  <si>
    <t xml:space="preserve">    其中：营业成本</t>
    <phoneticPr fontId="3" type="noConversion"/>
  </si>
  <si>
    <t xml:space="preserve">              非货币性资产交换利得</t>
  </si>
  <si>
    <t xml:space="preserve">          其中：主营业务成本</t>
  </si>
  <si>
    <t xml:space="preserve">              政府补助</t>
  </si>
  <si>
    <t xml:space="preserve">                其他业务成本</t>
  </si>
  <si>
    <t xml:space="preserve">              债务重组利得</t>
  </si>
  <si>
    <t xml:space="preserve">       △利息支出</t>
  </si>
  <si>
    <t xml:space="preserve">    减：营业外支出</t>
    <phoneticPr fontId="3" type="noConversion"/>
  </si>
  <si>
    <t xml:space="preserve">       △手续费及佣金支出</t>
  </si>
  <si>
    <t xml:space="preserve">        其中：非流动资产处置损失</t>
  </si>
  <si>
    <t xml:space="preserve">       △退保金</t>
  </si>
  <si>
    <t xml:space="preserve">              非货币性资产交换损失</t>
  </si>
  <si>
    <t xml:space="preserve">       △赔付支出净额</t>
  </si>
  <si>
    <t xml:space="preserve">              债务重组损失</t>
  </si>
  <si>
    <t xml:space="preserve">       △提取保险合同准备金净额</t>
  </si>
  <si>
    <t>利润总额</t>
    <phoneticPr fontId="3" type="noConversion"/>
  </si>
  <si>
    <t xml:space="preserve">       △保单红利支出</t>
  </si>
  <si>
    <t xml:space="preserve">    减：所得税费用</t>
    <phoneticPr fontId="3" type="noConversion"/>
  </si>
  <si>
    <t xml:space="preserve">       △分保费用</t>
  </si>
  <si>
    <t>净利润</t>
    <phoneticPr fontId="3" type="noConversion"/>
  </si>
  <si>
    <t xml:space="preserve">         营业税金及附加</t>
    <phoneticPr fontId="3" type="noConversion"/>
  </si>
  <si>
    <t xml:space="preserve">    归属于母公司所有者的净利润</t>
  </si>
  <si>
    <t xml:space="preserve">         销售费用</t>
  </si>
  <si>
    <t xml:space="preserve">   *少数股东损益</t>
  </si>
  <si>
    <t xml:space="preserve">         管理费用</t>
  </si>
  <si>
    <t>六、每股收益：</t>
    <phoneticPr fontId="3" type="noConversion"/>
  </si>
  <si>
    <t xml:space="preserve">             其中：业务招待费</t>
  </si>
  <si>
    <t xml:space="preserve">    基本每股收益</t>
    <phoneticPr fontId="3" type="noConversion"/>
  </si>
  <si>
    <t xml:space="preserve">                   研究与开发费</t>
  </si>
  <si>
    <t xml:space="preserve">    稀释每股收益</t>
    <phoneticPr fontId="3" type="noConversion"/>
  </si>
  <si>
    <t xml:space="preserve">         财务费用</t>
  </si>
  <si>
    <t>七、其他综合收益</t>
  </si>
  <si>
    <t xml:space="preserve">             其中：利息支出</t>
  </si>
  <si>
    <t>其他综合收益各项目分别扣除所得税影响后的净额</t>
    <phoneticPr fontId="3" type="noConversion"/>
  </si>
  <si>
    <t xml:space="preserve">                   利息收入</t>
  </si>
  <si>
    <t>综合收益总额</t>
    <phoneticPr fontId="3" type="noConversion"/>
  </si>
  <si>
    <t xml:space="preserve">                   汇兑净损失（净收益以“-”号填列）</t>
  </si>
  <si>
    <t xml:space="preserve">    归属于母公司所有者的综合收益总额</t>
    <phoneticPr fontId="3" type="noConversion"/>
  </si>
  <si>
    <t xml:space="preserve">         资产减值损失</t>
  </si>
  <si>
    <t xml:space="preserve">   *归属于少数股东的综合收益总额</t>
    <phoneticPr fontId="3" type="noConversion"/>
  </si>
  <si>
    <t>金额单位：元</t>
    <phoneticPr fontId="3" type="noConversion"/>
  </si>
  <si>
    <t>项              目</t>
  </si>
  <si>
    <t>上期金额</t>
    <phoneticPr fontId="3" type="noConversion"/>
  </si>
  <si>
    <t>一、经营活动产生的现金流量：</t>
  </si>
  <si>
    <t xml:space="preserve">    处置固定资产、无形资产和其他长期资产所收回的现金净额</t>
    <phoneticPr fontId="3" type="noConversion"/>
  </si>
  <si>
    <t xml:space="preserve">    销售商品、提供劳务收到的现金</t>
    <phoneticPr fontId="3" type="noConversion"/>
  </si>
  <si>
    <t xml:space="preserve">    处置子公司及其他营业单位收回的现金净额</t>
    <phoneticPr fontId="3" type="noConversion"/>
  </si>
  <si>
    <t xml:space="preserve">    收到其他与投资活动有关的现金</t>
    <phoneticPr fontId="3" type="noConversion"/>
  </si>
  <si>
    <t>投资活动现金流入小计</t>
    <phoneticPr fontId="3" type="noConversion"/>
  </si>
  <si>
    <t xml:space="preserve">  △向其他金融机构拆入资金净增加额</t>
    <phoneticPr fontId="3" type="noConversion"/>
  </si>
  <si>
    <t xml:space="preserve">    购建固定资产、无形资产和其他长期资产所支付的现金</t>
    <phoneticPr fontId="3" type="noConversion"/>
  </si>
  <si>
    <t xml:space="preserve">    投资支付的现金</t>
    <phoneticPr fontId="3" type="noConversion"/>
  </si>
  <si>
    <t xml:space="preserve">  △质押贷款净增加额</t>
    <phoneticPr fontId="3" type="noConversion"/>
  </si>
  <si>
    <t xml:space="preserve">    取得子公司及其他营业单位支付的现金净额</t>
  </si>
  <si>
    <t>37</t>
    <phoneticPr fontId="3" type="noConversion"/>
  </si>
  <si>
    <t xml:space="preserve">    支付其他与投资活动有关的现金</t>
    <phoneticPr fontId="3" type="noConversion"/>
  </si>
  <si>
    <t>38</t>
    <phoneticPr fontId="3" type="noConversion"/>
  </si>
  <si>
    <t xml:space="preserve">  △收取利息、手续费及佣金的现金</t>
    <phoneticPr fontId="3" type="noConversion"/>
  </si>
  <si>
    <t>投资活动现金流出小计</t>
    <phoneticPr fontId="3" type="noConversion"/>
  </si>
  <si>
    <t xml:space="preserve">  △拆入资金净增加额</t>
    <phoneticPr fontId="3" type="noConversion"/>
  </si>
  <si>
    <t>投资活动产生的现金流量净额</t>
    <phoneticPr fontId="3" type="noConversion"/>
  </si>
  <si>
    <t xml:space="preserve">  △回购业务资金净增加额</t>
    <phoneticPr fontId="3" type="noConversion"/>
  </si>
  <si>
    <t>三、筹资活动产生的现金流量：</t>
  </si>
  <si>
    <t xml:space="preserve">    收到的税费返还</t>
  </si>
  <si>
    <t xml:space="preserve">    吸收投资收到的现金</t>
    <phoneticPr fontId="3" type="noConversion"/>
  </si>
  <si>
    <t xml:space="preserve">    收到其他与经营活动有关的现金</t>
    <phoneticPr fontId="3" type="noConversion"/>
  </si>
  <si>
    <t xml:space="preserve">        其中：子公司吸收少数股东投资收到的现金</t>
    <phoneticPr fontId="3" type="noConversion"/>
  </si>
  <si>
    <t>经营活动现金流入小计</t>
    <phoneticPr fontId="3" type="noConversion"/>
  </si>
  <si>
    <t xml:space="preserve">    取得借款所收到的现金</t>
    <phoneticPr fontId="3" type="noConversion"/>
  </si>
  <si>
    <t xml:space="preserve">    购买商品、接收劳务支付的现金</t>
    <phoneticPr fontId="3" type="noConversion"/>
  </si>
  <si>
    <t xml:space="preserve">  △发行债券收到的现金</t>
    <phoneticPr fontId="3" type="noConversion"/>
  </si>
  <si>
    <t xml:space="preserve">  △客户贷款及垫款净增加额</t>
    <phoneticPr fontId="3" type="noConversion"/>
  </si>
  <si>
    <t xml:space="preserve">    收到其他与筹资活动有关的现金</t>
    <phoneticPr fontId="3" type="noConversion"/>
  </si>
  <si>
    <t xml:space="preserve">  △存放中央银行和同业款项净增加额</t>
    <phoneticPr fontId="3" type="noConversion"/>
  </si>
  <si>
    <t>筹资活动现金流入小计</t>
    <phoneticPr fontId="3" type="noConversion"/>
  </si>
  <si>
    <t xml:space="preserve">  △支付原保险合同赔付款项的现金</t>
    <phoneticPr fontId="3" type="noConversion"/>
  </si>
  <si>
    <t xml:space="preserve">    偿还债务所支付的现金</t>
    <phoneticPr fontId="3" type="noConversion"/>
  </si>
  <si>
    <t xml:space="preserve">  △支付利息、手续费及佣金的现金</t>
    <phoneticPr fontId="3" type="noConversion"/>
  </si>
  <si>
    <t xml:space="preserve">    分配股利、利润或偿付利息所支付的现金</t>
    <phoneticPr fontId="3" type="noConversion"/>
  </si>
  <si>
    <t xml:space="preserve">  △支付保单红利的现金</t>
    <phoneticPr fontId="3" type="noConversion"/>
  </si>
  <si>
    <t xml:space="preserve">        其中：子公司支付给少数股东的股利、利润</t>
    <phoneticPr fontId="3" type="noConversion"/>
  </si>
  <si>
    <t xml:space="preserve">    支付给职工以及为职工支付的现金</t>
    <phoneticPr fontId="3" type="noConversion"/>
  </si>
  <si>
    <t xml:space="preserve">    支付其他与筹资活动有关的现金</t>
    <phoneticPr fontId="3" type="noConversion"/>
  </si>
  <si>
    <t xml:space="preserve">    支付的各项税费</t>
  </si>
  <si>
    <t>筹资活动现金流出小计</t>
    <phoneticPr fontId="3" type="noConversion"/>
  </si>
  <si>
    <t xml:space="preserve">    支付其他与经营活动有关的现金</t>
    <phoneticPr fontId="3" type="noConversion"/>
  </si>
  <si>
    <t>筹资活动产生的现金流量净额</t>
    <phoneticPr fontId="3" type="noConversion"/>
  </si>
  <si>
    <t>经营活动现金流出小计</t>
    <phoneticPr fontId="3" type="noConversion"/>
  </si>
  <si>
    <t>汇率变动对现金及现金等价物的影响</t>
    <phoneticPr fontId="3" type="noConversion"/>
  </si>
  <si>
    <t>经营活动产生的现金流量净额</t>
    <phoneticPr fontId="3" type="noConversion"/>
  </si>
  <si>
    <t>现金及现金等价物净增加额</t>
    <phoneticPr fontId="3" type="noConversion"/>
  </si>
  <si>
    <t>二、投资活动产生的现金流量：</t>
  </si>
  <si>
    <t xml:space="preserve">    加：期初现金及现金等价物余额</t>
    <phoneticPr fontId="3" type="noConversion"/>
  </si>
  <si>
    <t xml:space="preserve">    收回投资收到的现金</t>
    <phoneticPr fontId="3" type="noConversion"/>
  </si>
  <si>
    <t>期末现金及现金等价物余额</t>
    <phoneticPr fontId="3" type="noConversion"/>
  </si>
  <si>
    <t xml:space="preserve">    取得投资收益收到的现金</t>
    <phoneticPr fontId="3" type="noConversion"/>
  </si>
  <si>
    <t>年初余额</t>
    <phoneticPr fontId="3" type="noConversion"/>
  </si>
  <si>
    <t>期末余额</t>
    <phoneticPr fontId="3" type="noConversion"/>
  </si>
  <si>
    <t>流动资产：</t>
    <phoneticPr fontId="3" type="noConversion"/>
  </si>
  <si>
    <t>66</t>
    <phoneticPr fontId="3" type="noConversion"/>
  </si>
  <si>
    <t xml:space="preserve">      △结算备付金</t>
    <phoneticPr fontId="3" type="noConversion"/>
  </si>
  <si>
    <t xml:space="preserve">      △向中央银行借款</t>
    <phoneticPr fontId="3" type="noConversion"/>
  </si>
  <si>
    <t xml:space="preserve">      △拆出资金</t>
    <phoneticPr fontId="3" type="noConversion"/>
  </si>
  <si>
    <t xml:space="preserve">      △吸收存款及同业存放</t>
    <phoneticPr fontId="3" type="noConversion"/>
  </si>
  <si>
    <t xml:space="preserve">      △拆入资金</t>
    <phoneticPr fontId="3" type="noConversion"/>
  </si>
  <si>
    <t xml:space="preserve">        应收票据</t>
    <phoneticPr fontId="3" type="noConversion"/>
  </si>
  <si>
    <t xml:space="preserve">        应收账款</t>
    <phoneticPr fontId="3" type="noConversion"/>
  </si>
  <si>
    <t xml:space="preserve">        应付账款</t>
    <phoneticPr fontId="3" type="noConversion"/>
  </si>
  <si>
    <t xml:space="preserve">      △应收保费</t>
    <phoneticPr fontId="3" type="noConversion"/>
  </si>
  <si>
    <t xml:space="preserve">      △应收分保账款</t>
    <phoneticPr fontId="3" type="noConversion"/>
  </si>
  <si>
    <t xml:space="preserve">      △卖出回购金融资产款</t>
    <phoneticPr fontId="3" type="noConversion"/>
  </si>
  <si>
    <t xml:space="preserve">      △应收分保合同准备金</t>
    <phoneticPr fontId="3" type="noConversion"/>
  </si>
  <si>
    <t xml:space="preserve">      △应付手续费及佣金</t>
    <phoneticPr fontId="3" type="noConversion"/>
  </si>
  <si>
    <t xml:space="preserve">        应付职工薪酬</t>
    <phoneticPr fontId="3" type="noConversion"/>
  </si>
  <si>
    <t xml:space="preserve">        应收股利</t>
    <phoneticPr fontId="3" type="noConversion"/>
  </si>
  <si>
    <t xml:space="preserve">            其中：应付工资</t>
    <phoneticPr fontId="3" type="noConversion"/>
  </si>
  <si>
    <t xml:space="preserve">                  应付福利费</t>
    <phoneticPr fontId="3" type="noConversion"/>
  </si>
  <si>
    <t xml:space="preserve">      △买入返售金融资产</t>
    <phoneticPr fontId="3" type="noConversion"/>
  </si>
  <si>
    <t xml:space="preserve">        应交税费</t>
    <phoneticPr fontId="3" type="noConversion"/>
  </si>
  <si>
    <t xml:space="preserve">            其中：原材料</t>
    <phoneticPr fontId="3" type="noConversion"/>
  </si>
  <si>
    <t xml:space="preserve">            其中：应交税金</t>
    <phoneticPr fontId="3" type="noConversion"/>
  </si>
  <si>
    <t xml:space="preserve">                  库存商品(产成品)</t>
    <phoneticPr fontId="3" type="noConversion"/>
  </si>
  <si>
    <t xml:space="preserve">        应付利息</t>
    <phoneticPr fontId="3" type="noConversion"/>
  </si>
  <si>
    <t xml:space="preserve">        划分为持有待售的资产</t>
    <phoneticPr fontId="3" type="noConversion"/>
  </si>
  <si>
    <t xml:space="preserve">        应付股利</t>
    <phoneticPr fontId="3" type="noConversion"/>
  </si>
  <si>
    <t xml:space="preserve">        一年内到期的非流动资产</t>
    <phoneticPr fontId="3" type="noConversion"/>
  </si>
  <si>
    <t xml:space="preserve">      △应付分保账款</t>
    <phoneticPr fontId="3" type="noConversion"/>
  </si>
  <si>
    <t>流动资产合计</t>
    <phoneticPr fontId="3" type="noConversion"/>
  </si>
  <si>
    <t xml:space="preserve">      △保险合同准备金</t>
    <phoneticPr fontId="3" type="noConversion"/>
  </si>
  <si>
    <t>非流动资产：</t>
    <phoneticPr fontId="3" type="noConversion"/>
  </si>
  <si>
    <t xml:space="preserve">      △代理买卖证券款</t>
    <phoneticPr fontId="3" type="noConversion"/>
  </si>
  <si>
    <t xml:space="preserve">      △发放贷款及垫款</t>
    <phoneticPr fontId="3" type="noConversion"/>
  </si>
  <si>
    <t xml:space="preserve">      △代理承销证券款</t>
    <phoneticPr fontId="3" type="noConversion"/>
  </si>
  <si>
    <t xml:space="preserve">        可供出售金融资产</t>
    <phoneticPr fontId="3" type="noConversion"/>
  </si>
  <si>
    <t xml:space="preserve">        划分为持有待售的负债</t>
    <phoneticPr fontId="3" type="noConversion"/>
  </si>
  <si>
    <t xml:space="preserve">        持有至到期投资</t>
    <phoneticPr fontId="3" type="noConversion"/>
  </si>
  <si>
    <t xml:space="preserve">        一年内到期的非流动负债</t>
    <phoneticPr fontId="3" type="noConversion"/>
  </si>
  <si>
    <t xml:space="preserve">        长期应收款</t>
    <phoneticPr fontId="3" type="noConversion"/>
  </si>
  <si>
    <t xml:space="preserve">        长期股权投资</t>
    <phoneticPr fontId="3" type="noConversion"/>
  </si>
  <si>
    <t xml:space="preserve">        投资性房地产</t>
    <phoneticPr fontId="3" type="noConversion"/>
  </si>
  <si>
    <t>非流动负债：</t>
    <phoneticPr fontId="3" type="noConversion"/>
  </si>
  <si>
    <t xml:space="preserve">        固定资产原价</t>
    <phoneticPr fontId="3" type="noConversion"/>
  </si>
  <si>
    <t xml:space="preserve">        长期借款</t>
    <phoneticPr fontId="3" type="noConversion"/>
  </si>
  <si>
    <t xml:space="preserve">            减：累计折旧</t>
    <phoneticPr fontId="3" type="noConversion"/>
  </si>
  <si>
    <t xml:space="preserve">        固定资产净值</t>
    <phoneticPr fontId="3" type="noConversion"/>
  </si>
  <si>
    <t xml:space="preserve">            减：固定资产减值准备</t>
    <phoneticPr fontId="3" type="noConversion"/>
  </si>
  <si>
    <t xml:space="preserve">        固定资产净额</t>
    <phoneticPr fontId="3" type="noConversion"/>
  </si>
  <si>
    <t xml:space="preserve">        在建工程</t>
    <phoneticPr fontId="3" type="noConversion"/>
  </si>
  <si>
    <t xml:space="preserve">        递延所得税负债</t>
    <phoneticPr fontId="3" type="noConversion"/>
  </si>
  <si>
    <t xml:space="preserve">        工程物资</t>
    <phoneticPr fontId="3" type="noConversion"/>
  </si>
  <si>
    <t xml:space="preserve">        固定资产清理</t>
    <phoneticPr fontId="3" type="noConversion"/>
  </si>
  <si>
    <t xml:space="preserve">            其中：特准储备基金</t>
    <phoneticPr fontId="3" type="noConversion"/>
  </si>
  <si>
    <t xml:space="preserve">        生产性生物资产</t>
    <phoneticPr fontId="3" type="noConversion"/>
  </si>
  <si>
    <t xml:space="preserve">        油气资产</t>
    <phoneticPr fontId="3" type="noConversion"/>
  </si>
  <si>
    <t xml:space="preserve">        无形资产</t>
    <phoneticPr fontId="3" type="noConversion"/>
  </si>
  <si>
    <t xml:space="preserve">        开发支出</t>
    <phoneticPr fontId="3" type="noConversion"/>
  </si>
  <si>
    <t xml:space="preserve">        实收资本（股本）</t>
    <phoneticPr fontId="3" type="noConversion"/>
  </si>
  <si>
    <t xml:space="preserve">        商誉</t>
    <phoneticPr fontId="3" type="noConversion"/>
  </si>
  <si>
    <t xml:space="preserve">        长期待摊费用</t>
    <phoneticPr fontId="3" type="noConversion"/>
  </si>
  <si>
    <t xml:space="preserve">            集体资本</t>
    <phoneticPr fontId="3" type="noConversion"/>
  </si>
  <si>
    <t xml:space="preserve">        递延所得税资产</t>
    <phoneticPr fontId="3" type="noConversion"/>
  </si>
  <si>
    <t xml:space="preserve">        其他非流动资产</t>
    <phoneticPr fontId="3" type="noConversion"/>
  </si>
  <si>
    <t xml:space="preserve">            其中：特准储备物资</t>
    <phoneticPr fontId="3" type="noConversion"/>
  </si>
  <si>
    <t xml:space="preserve">       #减：已归还投资</t>
    <phoneticPr fontId="3" type="noConversion"/>
  </si>
  <si>
    <t xml:space="preserve">        实收资本（或股本）净额</t>
    <phoneticPr fontId="3" type="noConversion"/>
  </si>
  <si>
    <t xml:space="preserve">        专项储备</t>
    <phoneticPr fontId="3" type="noConversion"/>
  </si>
  <si>
    <t xml:space="preserve">        其他综合收益</t>
    <phoneticPr fontId="3" type="noConversion"/>
  </si>
  <si>
    <t xml:space="preserve">            其中：法定公积金</t>
    <phoneticPr fontId="3" type="noConversion"/>
  </si>
  <si>
    <t xml:space="preserve">                  任意公积金</t>
    <phoneticPr fontId="3" type="noConversion"/>
  </si>
  <si>
    <t xml:space="preserve">                 #储备基金</t>
    <phoneticPr fontId="3" type="noConversion"/>
  </si>
  <si>
    <t xml:space="preserve">                 #企业发展基金</t>
    <phoneticPr fontId="3" type="noConversion"/>
  </si>
  <si>
    <t xml:space="preserve">                 #利润归还投资</t>
    <phoneticPr fontId="3" type="noConversion"/>
  </si>
  <si>
    <t xml:space="preserve">      △一般风险准备</t>
    <phoneticPr fontId="3" type="noConversion"/>
  </si>
  <si>
    <t xml:space="preserve">  归属于母公司所有者权益合计</t>
    <phoneticPr fontId="3" type="noConversion"/>
  </si>
  <si>
    <t xml:space="preserve">       *少数股东权益</t>
    <phoneticPr fontId="3" type="noConversion"/>
  </si>
  <si>
    <t>资产总计</t>
    <phoneticPr fontId="3" type="noConversion"/>
  </si>
  <si>
    <t>负债和所有者权益总计</t>
    <phoneticPr fontId="3" type="noConversion"/>
  </si>
  <si>
    <t>附表一</t>
    <phoneticPr fontId="6" type="noConversion"/>
  </si>
  <si>
    <t>货币单位：人民币元</t>
    <phoneticPr fontId="5" type="noConversion"/>
  </si>
  <si>
    <t>年初数</t>
    <phoneticPr fontId="3" type="noConversion"/>
  </si>
  <si>
    <t>期末数</t>
    <phoneticPr fontId="3" type="noConversion"/>
  </si>
  <si>
    <t>项            目</t>
    <phoneticPr fontId="3" type="noConversion"/>
  </si>
  <si>
    <t>流动负债：</t>
    <phoneticPr fontId="3" type="noConversion"/>
  </si>
  <si>
    <t xml:space="preserve">    短期借款</t>
  </si>
  <si>
    <t xml:space="preserve">    应付票据</t>
  </si>
  <si>
    <t xml:space="preserve">    应付账款</t>
  </si>
  <si>
    <t xml:space="preserve">    预收账款</t>
  </si>
  <si>
    <t xml:space="preserve">    应付工资</t>
    <phoneticPr fontId="3" type="noConversion"/>
  </si>
  <si>
    <t xml:space="preserve">    应付福利费</t>
  </si>
  <si>
    <t xml:space="preserve">    应付股利</t>
    <phoneticPr fontId="3" type="noConversion"/>
  </si>
  <si>
    <t xml:space="preserve">    应交税金</t>
    <phoneticPr fontId="3" type="noConversion"/>
  </si>
  <si>
    <t xml:space="preserve">    其他应交款</t>
    <phoneticPr fontId="6" type="noConversion"/>
  </si>
  <si>
    <t xml:space="preserve">    其他应付款</t>
    <phoneticPr fontId="3" type="noConversion"/>
  </si>
  <si>
    <t xml:space="preserve">    预提费用</t>
  </si>
  <si>
    <t xml:space="preserve">  预计负债</t>
    <phoneticPr fontId="5" type="noConversion"/>
  </si>
  <si>
    <t xml:space="preserve">    一年内到期的长期负债</t>
  </si>
  <si>
    <t>流动资产合计</t>
    <phoneticPr fontId="5" type="noConversion"/>
  </si>
  <si>
    <t xml:space="preserve">  其他流动负债</t>
    <phoneticPr fontId="5" type="noConversion"/>
  </si>
  <si>
    <t>流动负债合计</t>
    <phoneticPr fontId="3" type="noConversion"/>
  </si>
  <si>
    <t>长期负债：</t>
    <phoneticPr fontId="3" type="noConversion"/>
  </si>
  <si>
    <t xml:space="preserve">    长期借款</t>
    <phoneticPr fontId="6" type="noConversion"/>
  </si>
  <si>
    <t xml:space="preserve">    应付债券</t>
    <phoneticPr fontId="6" type="noConversion"/>
  </si>
  <si>
    <t xml:space="preserve">    长期应付款</t>
    <phoneticPr fontId="6" type="noConversion"/>
  </si>
  <si>
    <t xml:space="preserve">    专项应付款</t>
    <phoneticPr fontId="6" type="noConversion"/>
  </si>
  <si>
    <t xml:space="preserve">    其他长期负债</t>
    <phoneticPr fontId="6" type="noConversion"/>
  </si>
  <si>
    <t>长期负债合计</t>
    <phoneticPr fontId="3" type="noConversion"/>
  </si>
  <si>
    <t xml:space="preserve"> 递延税项：</t>
    <phoneticPr fontId="3" type="noConversion"/>
  </si>
  <si>
    <t xml:space="preserve">    递延税款贷项</t>
    <phoneticPr fontId="6" type="noConversion"/>
  </si>
  <si>
    <t>负债合计</t>
    <phoneticPr fontId="3" type="noConversion"/>
  </si>
  <si>
    <t>固定资产合计</t>
    <phoneticPr fontId="5" type="noConversion"/>
  </si>
  <si>
    <t>所有者权益（或股东权益）：</t>
    <phoneticPr fontId="3" type="noConversion"/>
  </si>
  <si>
    <t xml:space="preserve">    实收资本（或股本）</t>
    <phoneticPr fontId="6" type="noConversion"/>
  </si>
  <si>
    <t xml:space="preserve">  减：已归还投资</t>
    <phoneticPr fontId="5" type="noConversion"/>
  </si>
  <si>
    <t xml:space="preserve">    实收资本（或股本）净额</t>
    <phoneticPr fontId="6" type="noConversion"/>
  </si>
  <si>
    <t xml:space="preserve">    资本公积</t>
    <phoneticPr fontId="6" type="noConversion"/>
  </si>
  <si>
    <t xml:space="preserve">    盈余公积</t>
    <phoneticPr fontId="6" type="noConversion"/>
  </si>
  <si>
    <t xml:space="preserve">  其中：法定公益金</t>
    <phoneticPr fontId="5" type="noConversion"/>
  </si>
  <si>
    <t xml:space="preserve">    未分配利润</t>
    <phoneticPr fontId="6" type="noConversion"/>
  </si>
  <si>
    <t>所有者权益（或股东权益）合计</t>
    <phoneticPr fontId="3" type="noConversion"/>
  </si>
  <si>
    <t>资产总计</t>
    <phoneticPr fontId="3" type="noConversion"/>
  </si>
  <si>
    <t>负债和所有者权益（或股东权益）总计</t>
    <phoneticPr fontId="3" type="noConversion"/>
  </si>
  <si>
    <t>附表二</t>
    <phoneticPr fontId="6" type="noConversion"/>
  </si>
  <si>
    <t>货币单位：人民币元</t>
    <phoneticPr fontId="11" type="noConversion"/>
  </si>
  <si>
    <t>项目</t>
  </si>
  <si>
    <t>上年累计数</t>
    <phoneticPr fontId="15" type="noConversion"/>
  </si>
  <si>
    <t>本年累计数</t>
    <phoneticPr fontId="15" type="noConversion"/>
  </si>
  <si>
    <t>一、主营业务收入</t>
  </si>
  <si>
    <t xml:space="preserve">         其中：出口产品(商品)销售收入</t>
    <phoneticPr fontId="15" type="noConversion"/>
  </si>
  <si>
    <t xml:space="preserve">         减：主营业务成本</t>
    <phoneticPr fontId="11" type="noConversion"/>
  </si>
  <si>
    <t xml:space="preserve">         其中：出口产品(商品)销售成本</t>
    <phoneticPr fontId="15" type="noConversion"/>
  </si>
  <si>
    <t xml:space="preserve">                  主营业务税金及附加</t>
    <phoneticPr fontId="11" type="noConversion"/>
  </si>
  <si>
    <t>二、主营业务利润（亏损以“-”号填列）</t>
    <phoneticPr fontId="15" type="noConversion"/>
  </si>
  <si>
    <t xml:space="preserve">         加：其他业务利润（亏损以“-”号填列）</t>
    <phoneticPr fontId="11" type="noConversion"/>
  </si>
  <si>
    <t xml:space="preserve">         减：营业费用</t>
    <phoneticPr fontId="11" type="noConversion"/>
  </si>
  <si>
    <t xml:space="preserve">                  管理费用</t>
    <phoneticPr fontId="11" type="noConversion"/>
  </si>
  <si>
    <t xml:space="preserve">                  财务费用</t>
    <phoneticPr fontId="11" type="noConversion"/>
  </si>
  <si>
    <t>三、营业利润（亏损以“-”号填列）</t>
    <phoneticPr fontId="15" type="noConversion"/>
  </si>
  <si>
    <t xml:space="preserve">        加：投资收益（损失以“-”号填列）</t>
    <phoneticPr fontId="11" type="noConversion"/>
  </si>
  <si>
    <t xml:space="preserve">                  补贴收入</t>
    <phoneticPr fontId="11" type="noConversion"/>
  </si>
  <si>
    <t xml:space="preserve">                  营业外收入</t>
    <phoneticPr fontId="11" type="noConversion"/>
  </si>
  <si>
    <t xml:space="preserve">        减：营业外支出</t>
    <phoneticPr fontId="11" type="noConversion"/>
  </si>
  <si>
    <t>四、利润总额（亏损以“-”号填列）</t>
    <phoneticPr fontId="15" type="noConversion"/>
  </si>
  <si>
    <t xml:space="preserve">        减：所得税</t>
    <phoneticPr fontId="11" type="noConversion"/>
  </si>
  <si>
    <t xml:space="preserve">        减：少数股东损益</t>
    <phoneticPr fontId="11" type="noConversion"/>
  </si>
  <si>
    <t>五、净利润（净亏损以“-”号填列）</t>
    <phoneticPr fontId="15" type="noConversion"/>
  </si>
  <si>
    <t>补充资料</t>
    <phoneticPr fontId="15" type="noConversion"/>
  </si>
  <si>
    <t>项  目</t>
    <phoneticPr fontId="11" type="noConversion"/>
  </si>
  <si>
    <t>上年实际数</t>
    <phoneticPr fontId="15" type="noConversion"/>
  </si>
  <si>
    <t>1.出售、处置部门或投资单位所得收益</t>
    <phoneticPr fontId="11" type="noConversion"/>
  </si>
  <si>
    <t>2.自然灾害发生的损失</t>
    <phoneticPr fontId="11" type="noConversion"/>
  </si>
  <si>
    <t>3.会计政策变更增加（或减少）利润总额</t>
    <phoneticPr fontId="11" type="noConversion"/>
  </si>
  <si>
    <t>4.会计估计变更增加（或减少）利润总额</t>
    <phoneticPr fontId="11" type="noConversion"/>
  </si>
  <si>
    <t>5.债务重组损失</t>
    <phoneticPr fontId="11" type="noConversion"/>
  </si>
  <si>
    <t>6.其他</t>
    <phoneticPr fontId="11" type="noConversion"/>
  </si>
  <si>
    <t>附表三</t>
    <phoneticPr fontId="6" type="noConversion"/>
  </si>
  <si>
    <t>货币单位：人民币元</t>
    <phoneticPr fontId="16" type="noConversion"/>
  </si>
  <si>
    <t>项                             目</t>
    <phoneticPr fontId="16" type="noConversion"/>
  </si>
  <si>
    <t>金     额</t>
    <phoneticPr fontId="16" type="noConversion"/>
  </si>
  <si>
    <t xml:space="preserve">      补充资料</t>
    <phoneticPr fontId="12" type="noConversion"/>
  </si>
  <si>
    <t xml:space="preserve">       销售商品、提供劳务收到的现金</t>
    <phoneticPr fontId="16" type="noConversion"/>
  </si>
  <si>
    <t>1、将净利润调节为经营活动现金流量：</t>
    <phoneticPr fontId="16" type="noConversion"/>
  </si>
  <si>
    <t xml:space="preserve">       收到的税费返还</t>
    <phoneticPr fontId="16" type="noConversion"/>
  </si>
  <si>
    <t xml:space="preserve">              净利润</t>
    <phoneticPr fontId="16" type="noConversion"/>
  </si>
  <si>
    <t xml:space="preserve">       收到的其他与经营活动有关的现金</t>
    <phoneticPr fontId="16" type="noConversion"/>
  </si>
  <si>
    <t xml:space="preserve">      加：计提的资产损失准备</t>
    <phoneticPr fontId="16" type="noConversion"/>
  </si>
  <si>
    <t>现金流入小计</t>
    <phoneticPr fontId="16" type="noConversion"/>
  </si>
  <si>
    <t xml:space="preserve">              固定资产折旧</t>
    <phoneticPr fontId="16" type="noConversion"/>
  </si>
  <si>
    <t xml:space="preserve">       购买商品、接受劳务支付的现金</t>
    <phoneticPr fontId="16" type="noConversion"/>
  </si>
  <si>
    <t xml:space="preserve">              无形资产摊销</t>
    <phoneticPr fontId="16" type="noConversion"/>
  </si>
  <si>
    <t xml:space="preserve">       支付给职工以及为职工支付的现金</t>
    <phoneticPr fontId="16" type="noConversion"/>
  </si>
  <si>
    <t xml:space="preserve">              长期待摊费用摊销</t>
    <phoneticPr fontId="11" type="noConversion"/>
  </si>
  <si>
    <t xml:space="preserve">       支付的各项税费</t>
    <phoneticPr fontId="16" type="noConversion"/>
  </si>
  <si>
    <t xml:space="preserve">              待摊费用减少(减：增加)</t>
    <phoneticPr fontId="11" type="noConversion"/>
  </si>
  <si>
    <t xml:space="preserve">       支付的其他与经营活动有关的现金</t>
    <phoneticPr fontId="16" type="noConversion"/>
  </si>
  <si>
    <t xml:space="preserve">              预提费用增加(减：减少)</t>
    <phoneticPr fontId="11" type="noConversion"/>
  </si>
  <si>
    <t>现金流出小计</t>
    <phoneticPr fontId="16" type="noConversion"/>
  </si>
  <si>
    <t xml:space="preserve">              处置固定资产、无形资产和其他长期资产的损失(减：收益)</t>
    <phoneticPr fontId="16" type="noConversion"/>
  </si>
  <si>
    <t>经营活动产生的现金流量净额</t>
    <phoneticPr fontId="16" type="noConversion"/>
  </si>
  <si>
    <t xml:space="preserve">              固定资产报废损失</t>
    <phoneticPr fontId="16" type="noConversion"/>
  </si>
  <si>
    <t>二、投资活动产生的现金流量</t>
    <phoneticPr fontId="16" type="noConversion"/>
  </si>
  <si>
    <t xml:space="preserve">              财务费用</t>
    <phoneticPr fontId="16" type="noConversion"/>
  </si>
  <si>
    <t xml:space="preserve">        收回投资所收到的现金</t>
    <phoneticPr fontId="16" type="noConversion"/>
  </si>
  <si>
    <t xml:space="preserve">              投资损失(减：收益)</t>
    <phoneticPr fontId="16" type="noConversion"/>
  </si>
  <si>
    <t xml:space="preserve">        取得投资收益所收到的现金</t>
    <phoneticPr fontId="16" type="noConversion"/>
  </si>
  <si>
    <t xml:space="preserve">              递延税款贷项(减：借项)</t>
    <phoneticPr fontId="16" type="noConversion"/>
  </si>
  <si>
    <t xml:space="preserve">        处置固定资产、无形资产和其他长期资产所收回的现金净额</t>
    <phoneticPr fontId="16" type="noConversion"/>
  </si>
  <si>
    <t xml:space="preserve">              存货的减少(减：增加)</t>
    <phoneticPr fontId="16" type="noConversion"/>
  </si>
  <si>
    <t xml:space="preserve">        收到的其他与投资活动有关的现金</t>
    <phoneticPr fontId="16" type="noConversion"/>
  </si>
  <si>
    <t xml:space="preserve">              经营性应收项目的减少(减：增加)</t>
    <phoneticPr fontId="16" type="noConversion"/>
  </si>
  <si>
    <t xml:space="preserve">              经营性应付项目的增加(减：减少)</t>
    <phoneticPr fontId="16" type="noConversion"/>
  </si>
  <si>
    <t xml:space="preserve">        购建固定资产、无形资产和其他长期资产所支付的现金</t>
    <phoneticPr fontId="16" type="noConversion"/>
  </si>
  <si>
    <t xml:space="preserve">              其他</t>
    <phoneticPr fontId="15" type="noConversion"/>
  </si>
  <si>
    <t xml:space="preserve">        投资所支付的现金</t>
    <phoneticPr fontId="16" type="noConversion"/>
  </si>
  <si>
    <t xml:space="preserve">        支付的其他与投资活动有关的现金</t>
    <phoneticPr fontId="16" type="noConversion"/>
  </si>
  <si>
    <t>投资活动产生的现金流量净额</t>
    <phoneticPr fontId="16" type="noConversion"/>
  </si>
  <si>
    <t>2、不涉及现金收支的投资和筹资活动：</t>
    <phoneticPr fontId="16" type="noConversion"/>
  </si>
  <si>
    <t>三、筹资活动产生的现金流量</t>
    <phoneticPr fontId="16" type="noConversion"/>
  </si>
  <si>
    <t xml:space="preserve">      债务转为资本</t>
    <phoneticPr fontId="16" type="noConversion"/>
  </si>
  <si>
    <t xml:space="preserve">        吸收投资所收到的现金</t>
    <phoneticPr fontId="16" type="noConversion"/>
  </si>
  <si>
    <t xml:space="preserve">      一年内到期的可转换公司债券</t>
    <phoneticPr fontId="16" type="noConversion"/>
  </si>
  <si>
    <t xml:space="preserve">        借款所收到的现金</t>
    <phoneticPr fontId="16" type="noConversion"/>
  </si>
  <si>
    <t xml:space="preserve">      融资租入固定资产</t>
    <phoneticPr fontId="16" type="noConversion"/>
  </si>
  <si>
    <t xml:space="preserve">        收到的其他与筹资活动有关的现金</t>
    <phoneticPr fontId="16" type="noConversion"/>
  </si>
  <si>
    <t xml:space="preserve">        偿还债务所支付的现金</t>
    <phoneticPr fontId="16" type="noConversion"/>
  </si>
  <si>
    <t xml:space="preserve">        分配股利、利润或偿付利息所支付的现金</t>
    <phoneticPr fontId="16" type="noConversion"/>
  </si>
  <si>
    <t>3、现金及现金等价物净增加情况：</t>
    <phoneticPr fontId="16" type="noConversion"/>
  </si>
  <si>
    <t xml:space="preserve">        支付的其他与筹资活动有关的现金</t>
    <phoneticPr fontId="16" type="noConversion"/>
  </si>
  <si>
    <t xml:space="preserve">      现金的期末余额</t>
    <phoneticPr fontId="16" type="noConversion"/>
  </si>
  <si>
    <t xml:space="preserve">      减：现金的期初余额</t>
    <phoneticPr fontId="16" type="noConversion"/>
  </si>
  <si>
    <t>筹资活动产生的现金流量净额</t>
    <phoneticPr fontId="16" type="noConversion"/>
  </si>
  <si>
    <t xml:space="preserve">      加：现金等价物的期末余额</t>
    <phoneticPr fontId="16" type="noConversion"/>
  </si>
  <si>
    <t>四、汇率变动对现金的影响额</t>
    <phoneticPr fontId="16" type="noConversion"/>
  </si>
  <si>
    <t xml:space="preserve">      减：现金等价物的期初余额</t>
    <phoneticPr fontId="16" type="noConversion"/>
  </si>
  <si>
    <t>五、现金及现金等价物净增加额</t>
    <phoneticPr fontId="16" type="noConversion"/>
  </si>
  <si>
    <t xml:space="preserve">              现金及现金等价物净增加额</t>
    <phoneticPr fontId="16" type="noConversion"/>
  </si>
  <si>
    <t>会小企01表</t>
    <phoneticPr fontId="1" type="noConversion"/>
  </si>
  <si>
    <t>编制单位：</t>
    <phoneticPr fontId="1" type="noConversion"/>
  </si>
  <si>
    <t xml:space="preserve">              年    月    日</t>
    <phoneticPr fontId="1" type="noConversion"/>
  </si>
  <si>
    <t>单位：元</t>
    <phoneticPr fontId="1" type="noConversion"/>
  </si>
  <si>
    <t>资产</t>
    <phoneticPr fontId="1" type="noConversion"/>
  </si>
  <si>
    <t>行次</t>
    <phoneticPr fontId="1" type="noConversion"/>
  </si>
  <si>
    <t>期末余额</t>
  </si>
  <si>
    <t>年初余额</t>
    <phoneticPr fontId="1" type="noConversion"/>
  </si>
  <si>
    <t>负债和所有者权益</t>
    <phoneticPr fontId="1" type="noConversion"/>
  </si>
  <si>
    <t>流动资产：</t>
  </si>
  <si>
    <t xml:space="preserve">  货币资金</t>
    <phoneticPr fontId="1" type="noConversion"/>
  </si>
  <si>
    <t xml:space="preserve">  短期借款</t>
    <phoneticPr fontId="1" type="noConversion"/>
  </si>
  <si>
    <t xml:space="preserve">  短期投资</t>
    <phoneticPr fontId="1" type="noConversion"/>
  </si>
  <si>
    <t xml:space="preserve">  应付票据</t>
    <phoneticPr fontId="1" type="noConversion"/>
  </si>
  <si>
    <t xml:space="preserve">  应收票据</t>
    <phoneticPr fontId="1" type="noConversion"/>
  </si>
  <si>
    <t xml:space="preserve">  应付账款</t>
    <phoneticPr fontId="1" type="noConversion"/>
  </si>
  <si>
    <t xml:space="preserve">  应收账款</t>
    <phoneticPr fontId="1" type="noConversion"/>
  </si>
  <si>
    <t xml:space="preserve">  预收账款</t>
    <phoneticPr fontId="1" type="noConversion"/>
  </si>
  <si>
    <t xml:space="preserve">  预付账款</t>
    <phoneticPr fontId="1" type="noConversion"/>
  </si>
  <si>
    <t xml:space="preserve">  应付职工薪酬</t>
    <phoneticPr fontId="1" type="noConversion"/>
  </si>
  <si>
    <t xml:space="preserve">  应收股利</t>
    <phoneticPr fontId="1" type="noConversion"/>
  </si>
  <si>
    <t xml:space="preserve">  应交税费</t>
    <phoneticPr fontId="1" type="noConversion"/>
  </si>
  <si>
    <t xml:space="preserve">  应收利息</t>
    <phoneticPr fontId="1" type="noConversion"/>
  </si>
  <si>
    <t xml:space="preserve">  应付利息</t>
    <phoneticPr fontId="1" type="noConversion"/>
  </si>
  <si>
    <t xml:space="preserve">  其他应收款</t>
    <phoneticPr fontId="1" type="noConversion"/>
  </si>
  <si>
    <t xml:space="preserve">  应付利润</t>
    <phoneticPr fontId="1" type="noConversion"/>
  </si>
  <si>
    <t xml:space="preserve">  存货</t>
    <phoneticPr fontId="1" type="noConversion"/>
  </si>
  <si>
    <t xml:space="preserve">  其他应付款</t>
    <phoneticPr fontId="1" type="noConversion"/>
  </si>
  <si>
    <t xml:space="preserve">    其中：原材料</t>
    <phoneticPr fontId="1" type="noConversion"/>
  </si>
  <si>
    <t xml:space="preserve">  其他流动负债</t>
    <phoneticPr fontId="1" type="noConversion"/>
  </si>
  <si>
    <t xml:space="preserve">          在产品</t>
    <phoneticPr fontId="1" type="noConversion"/>
  </si>
  <si>
    <t xml:space="preserve">      流动负债合计</t>
    <phoneticPr fontId="1" type="noConversion"/>
  </si>
  <si>
    <t xml:space="preserve">          库存商品</t>
    <phoneticPr fontId="1" type="noConversion"/>
  </si>
  <si>
    <t>非流动负债：</t>
  </si>
  <si>
    <t xml:space="preserve">          周转材料</t>
    <phoneticPr fontId="1" type="noConversion"/>
  </si>
  <si>
    <t xml:space="preserve">  长期借款</t>
    <phoneticPr fontId="1" type="noConversion"/>
  </si>
  <si>
    <t xml:space="preserve">  其他流动资产</t>
    <phoneticPr fontId="1" type="noConversion"/>
  </si>
  <si>
    <t xml:space="preserve">  长期应付款</t>
    <phoneticPr fontId="1" type="noConversion"/>
  </si>
  <si>
    <t xml:space="preserve">       流动资产合计</t>
    <phoneticPr fontId="1" type="noConversion"/>
  </si>
  <si>
    <t xml:space="preserve">  递延收益</t>
    <phoneticPr fontId="1" type="noConversion"/>
  </si>
  <si>
    <t xml:space="preserve">非流动资产： </t>
  </si>
  <si>
    <t xml:space="preserve">  其他非流动负债</t>
    <phoneticPr fontId="1" type="noConversion"/>
  </si>
  <si>
    <t xml:space="preserve">  长期债券投资</t>
    <phoneticPr fontId="1" type="noConversion"/>
  </si>
  <si>
    <t xml:space="preserve">    非流动负债合计</t>
    <phoneticPr fontId="1" type="noConversion"/>
  </si>
  <si>
    <t xml:space="preserve">  长期股权投资</t>
    <phoneticPr fontId="1" type="noConversion"/>
  </si>
  <si>
    <t xml:space="preserve">     负债合计</t>
    <phoneticPr fontId="1" type="noConversion"/>
  </si>
  <si>
    <t xml:space="preserve">  固定资产原价</t>
    <phoneticPr fontId="1" type="noConversion"/>
  </si>
  <si>
    <t xml:space="preserve">  减：累计折旧</t>
    <phoneticPr fontId="1" type="noConversion"/>
  </si>
  <si>
    <t xml:space="preserve">  固定资产账面价值</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</si>
  <si>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</si>
  <si>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</si>
  <si>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</si>
  <si>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</si>
  <si>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所有者权益（或股东权益）：</t>
    <phoneticPr fontId="1" type="noConversion"/>
  </si>
  <si>
    <t xml:space="preserve">  无形资产</t>
    <phoneticPr fontId="1" type="noConversion"/>
  </si>
  <si>
    <t xml:space="preserve">  实收资本（或股本）</t>
    <phoneticPr fontId="1" type="noConversion"/>
  </si>
  <si>
    <t xml:space="preserve">  开发支出</t>
    <phoneticPr fontId="1" type="noConversion"/>
  </si>
  <si>
    <t xml:space="preserve">  资本公积</t>
    <phoneticPr fontId="1" type="noConversion"/>
  </si>
  <si>
    <t xml:space="preserve">  长期待摊费用</t>
    <phoneticPr fontId="1" type="noConversion"/>
  </si>
  <si>
    <t xml:space="preserve">  盈余公积</t>
    <phoneticPr fontId="1" type="noConversion"/>
  </si>
  <si>
    <t xml:space="preserve">  其他非流动资产</t>
    <phoneticPr fontId="1" type="noConversion"/>
  </si>
  <si>
    <t xml:space="preserve">  未分配利润</t>
    <phoneticPr fontId="1" type="noConversion"/>
  </si>
  <si>
    <t xml:space="preserve">      非流动资产合计</t>
    <phoneticPr fontId="1" type="noConversion"/>
  </si>
  <si>
    <t xml:space="preserve">   所有者权益（或股东权益）合计</t>
    <phoneticPr fontId="1" type="noConversion"/>
  </si>
  <si>
    <t xml:space="preserve">       资产总计</t>
    <phoneticPr fontId="1" type="noConversion"/>
  </si>
  <si>
    <t xml:space="preserve"> 负债和所有者权益（或股东权益）总计</t>
    <phoneticPr fontId="1" type="noConversion"/>
  </si>
  <si>
    <t>会小企02表</t>
    <phoneticPr fontId="1" type="noConversion"/>
  </si>
  <si>
    <t>项  目</t>
    <phoneticPr fontId="1" type="noConversion"/>
  </si>
  <si>
    <t>本年累计金额</t>
    <phoneticPr fontId="1" type="noConversion"/>
  </si>
  <si>
    <t>上年累计数</t>
    <phoneticPr fontId="1" type="noConversion"/>
  </si>
  <si>
    <t>一、营业收入</t>
    <phoneticPr fontId="1" type="noConversion"/>
  </si>
  <si>
    <t>减：营业成本</t>
    <phoneticPr fontId="1" type="noConversion"/>
  </si>
  <si>
    <t xml:space="preserve">    营业税金及附加</t>
    <phoneticPr fontId="1" type="noConversion"/>
  </si>
  <si>
    <t xml:space="preserve">      其中：消费税</t>
    <phoneticPr fontId="1" type="noConversion"/>
  </si>
  <si>
    <t xml:space="preserve">            营业税</t>
    <phoneticPr fontId="1" type="noConversion"/>
  </si>
  <si>
    <t xml:space="preserve">            城市维护建设税</t>
    <phoneticPr fontId="1" type="noConversion"/>
  </si>
  <si>
    <t xml:space="preserve">            资源税</t>
    <phoneticPr fontId="1" type="noConversion"/>
  </si>
  <si>
    <t xml:space="preserve">            土地增值税</t>
    <phoneticPr fontId="1" type="noConversion"/>
  </si>
  <si>
    <t xml:space="preserve">            城镇土地使用税、房产税、车船税、印花税</t>
    <phoneticPr fontId="1" type="noConversion"/>
  </si>
  <si>
    <t xml:space="preserve">            教育费附加、矿产资源补偿费、排污费</t>
    <phoneticPr fontId="1" type="noConversion"/>
  </si>
  <si>
    <t xml:space="preserve">    销售费用</t>
    <phoneticPr fontId="1" type="noConversion"/>
  </si>
  <si>
    <t xml:space="preserve">      其中：商品维修费</t>
    <phoneticPr fontId="1" type="noConversion"/>
  </si>
  <si>
    <t xml:space="preserve">            广告费和业务宣传费</t>
    <phoneticPr fontId="1" type="noConversion"/>
  </si>
  <si>
    <t xml:space="preserve">    管理费用</t>
    <phoneticPr fontId="1" type="noConversion"/>
  </si>
  <si>
    <t xml:space="preserve">      其中：开办费</t>
    <phoneticPr fontId="1" type="noConversion"/>
  </si>
  <si>
    <t xml:space="preserve">            业务招待费</t>
    <phoneticPr fontId="1" type="noConversion"/>
  </si>
  <si>
    <t xml:space="preserve">            研究费用</t>
    <phoneticPr fontId="1" type="noConversion"/>
  </si>
  <si>
    <t xml:space="preserve">    财务费用</t>
    <phoneticPr fontId="1" type="noConversion"/>
  </si>
  <si>
    <t xml:space="preserve">      其中：利息费用（收入以“-”号填列）</t>
    <phoneticPr fontId="1" type="noConversion"/>
  </si>
  <si>
    <t>加：投资收益（损失以“-”号填列）</t>
    <phoneticPr fontId="1" type="noConversion"/>
  </si>
  <si>
    <t>二、营业利润（亏损以“-”号填列）</t>
    <phoneticPr fontId="1" type="noConversion"/>
  </si>
  <si>
    <t>加：营业外收入</t>
    <phoneticPr fontId="1" type="noConversion"/>
  </si>
  <si>
    <t xml:space="preserve">      其中：政府补助</t>
    <phoneticPr fontId="1" type="noConversion"/>
  </si>
  <si>
    <t>加：营业外支出</t>
    <phoneticPr fontId="1" type="noConversion"/>
  </si>
  <si>
    <t xml:space="preserve">      其中：坏账损失</t>
    <phoneticPr fontId="1" type="noConversion"/>
  </si>
  <si>
    <t xml:space="preserve">            无法收回的长期债券投资损失</t>
    <phoneticPr fontId="1" type="noConversion"/>
  </si>
  <si>
    <t xml:space="preserve">            无法收回的长期股权投资损失</t>
    <phoneticPr fontId="1" type="noConversion"/>
  </si>
  <si>
    <t xml:space="preserve">            自然灾害等不可抗力因素造成的损失</t>
    <phoneticPr fontId="1" type="noConversion"/>
  </si>
  <si>
    <t xml:space="preserve">            税收滞纳金</t>
    <phoneticPr fontId="1" type="noConversion"/>
  </si>
  <si>
    <t>三、利润总额（亏损总额以“-”号填列）</t>
    <phoneticPr fontId="1" type="noConversion"/>
  </si>
  <si>
    <t>减：所得税费用</t>
    <phoneticPr fontId="1" type="noConversion"/>
  </si>
  <si>
    <t>四、净利润（净亏损以“-”号填列）</t>
    <phoneticPr fontId="1" type="noConversion"/>
  </si>
  <si>
    <t>单位：元</t>
  </si>
  <si>
    <t>项                目</t>
  </si>
  <si>
    <t>本月金额</t>
    <phoneticPr fontId="1" type="noConversion"/>
  </si>
  <si>
    <t>一、经营活动产生的现金流量</t>
  </si>
  <si>
    <t>二、投资活动产生的现金流量</t>
  </si>
  <si>
    <t xml:space="preserve">     投资活动产生的现金流量净额</t>
    <phoneticPr fontId="1" type="noConversion"/>
  </si>
  <si>
    <t>三、筹资活动产生的现金流量</t>
  </si>
  <si>
    <t>四、现金净增加额</t>
    <phoneticPr fontId="1" type="noConversion"/>
  </si>
  <si>
    <t>加：期初现金余额</t>
    <phoneticPr fontId="1" type="noConversion"/>
  </si>
  <si>
    <t>五、期末现金余额</t>
    <phoneticPr fontId="1" type="noConversion"/>
  </si>
  <si>
    <r>
      <rPr>
        <sz val="10"/>
        <color indexed="8"/>
        <rFont val="宋体"/>
        <charset val="134"/>
      </rPr>
      <t>单位：元</t>
    </r>
    <phoneticPr fontId="1" type="noConversion"/>
  </si>
  <si>
    <t>期末余额</t>
    <phoneticPr fontId="1" type="noConversion"/>
  </si>
  <si>
    <t>资产总计</t>
    <phoneticPr fontId="1" type="noConversion"/>
  </si>
  <si>
    <t>期末余额</t>
    <phoneticPr fontId="1" type="noConversion"/>
  </si>
  <si>
    <t>年初余额</t>
    <phoneticPr fontId="1" type="noConversion"/>
  </si>
  <si>
    <t>资产总计</t>
    <phoneticPr fontId="1" type="noConversion"/>
  </si>
  <si>
    <r>
      <rPr>
        <b/>
        <sz val="10"/>
        <color indexed="8"/>
        <rFont val="宋体"/>
        <charset val="134"/>
      </rPr>
      <t>项目</t>
    </r>
    <phoneticPr fontId="1" type="noConversion"/>
  </si>
  <si>
    <t>本年累计数</t>
    <phoneticPr fontId="1" type="noConversion"/>
  </si>
  <si>
    <t>财政补助收入</t>
    <phoneticPr fontId="1" type="noConversion"/>
  </si>
  <si>
    <t>会医01表</t>
    <phoneticPr fontId="1" type="noConversion"/>
  </si>
  <si>
    <t>负债和股东权益</t>
  </si>
  <si>
    <t xml:space="preserve">  应缴款项</t>
    <phoneticPr fontId="1" type="noConversion"/>
  </si>
  <si>
    <t xml:space="preserve">  财政应返还额度</t>
    <phoneticPr fontId="1" type="noConversion"/>
  </si>
  <si>
    <t xml:space="preserve">  应收在院病人医疗款</t>
    <phoneticPr fontId="1" type="noConversion"/>
  </si>
  <si>
    <t xml:space="preserve">  应收医疗款</t>
    <phoneticPr fontId="1" type="noConversion"/>
  </si>
  <si>
    <t xml:space="preserve">  预收医疗款</t>
    <phoneticPr fontId="1" type="noConversion"/>
  </si>
  <si>
    <t xml:space="preserve">  减：坏账准备</t>
    <phoneticPr fontId="1" type="noConversion"/>
  </si>
  <si>
    <t xml:space="preserve">  应付福利费</t>
    <phoneticPr fontId="1" type="noConversion"/>
  </si>
  <si>
    <t xml:space="preserve">  应付社会保障费</t>
    <phoneticPr fontId="1" type="noConversion"/>
  </si>
  <si>
    <t xml:space="preserve">  待摊费用</t>
    <phoneticPr fontId="1" type="noConversion"/>
  </si>
  <si>
    <t xml:space="preserve">  一年内到期的长期债权投资</t>
    <phoneticPr fontId="1" type="noConversion"/>
  </si>
  <si>
    <t xml:space="preserve">  预提费用</t>
    <phoneticPr fontId="1" type="noConversion"/>
  </si>
  <si>
    <t xml:space="preserve">  长期投资</t>
    <phoneticPr fontId="1" type="noConversion"/>
  </si>
  <si>
    <t xml:space="preserve">  固定资产</t>
    <phoneticPr fontId="1" type="noConversion"/>
  </si>
  <si>
    <t xml:space="preserve">    固定资产原价</t>
    <phoneticPr fontId="1" type="noConversion"/>
  </si>
  <si>
    <t xml:space="preserve">    减：累计折旧</t>
    <phoneticPr fontId="1" type="noConversion"/>
  </si>
  <si>
    <t>净资产：</t>
    <phoneticPr fontId="1" type="noConversion"/>
  </si>
  <si>
    <t xml:space="preserve">  事业基金</t>
    <phoneticPr fontId="1" type="noConversion"/>
  </si>
  <si>
    <t xml:space="preserve">  专用基金</t>
    <phoneticPr fontId="1" type="noConversion"/>
  </si>
  <si>
    <t xml:space="preserve">    无形资产原价</t>
    <phoneticPr fontId="1" type="noConversion"/>
  </si>
  <si>
    <t xml:space="preserve">  待冲基金</t>
    <phoneticPr fontId="1" type="noConversion"/>
  </si>
  <si>
    <t xml:space="preserve">    减：累计摊销</t>
    <phoneticPr fontId="1" type="noConversion"/>
  </si>
  <si>
    <t xml:space="preserve">  财政补助结转（余）</t>
    <phoneticPr fontId="1" type="noConversion"/>
  </si>
  <si>
    <t xml:space="preserve">  科教项目结转（余）</t>
    <phoneticPr fontId="1" type="noConversion"/>
  </si>
  <si>
    <t xml:space="preserve">  待处理资产损溢</t>
    <phoneticPr fontId="1" type="noConversion"/>
  </si>
  <si>
    <t xml:space="preserve">  本期结余</t>
    <phoneticPr fontId="1" type="noConversion"/>
  </si>
  <si>
    <t xml:space="preserve">  未弥补亏损</t>
    <phoneticPr fontId="1" type="noConversion"/>
  </si>
  <si>
    <t xml:space="preserve">    净资产合计</t>
    <phoneticPr fontId="1" type="noConversion"/>
  </si>
  <si>
    <t>资产总计</t>
  </si>
  <si>
    <t xml:space="preserve"> 负债和净资产总计</t>
    <phoneticPr fontId="1" type="noConversion"/>
  </si>
  <si>
    <t>会医02表</t>
    <phoneticPr fontId="1" type="noConversion"/>
  </si>
  <si>
    <t xml:space="preserve">编制单位：                              年  </t>
    <phoneticPr fontId="1" type="noConversion"/>
  </si>
  <si>
    <t>一、医疗收入</t>
    <phoneticPr fontId="1" type="noConversion"/>
  </si>
  <si>
    <t xml:space="preserve">    加：财政基本补助收入</t>
    <phoneticPr fontId="1" type="noConversion"/>
  </si>
  <si>
    <t xml:space="preserve">    减：医疗业务成本</t>
    <phoneticPr fontId="1" type="noConversion"/>
  </si>
  <si>
    <t xml:space="preserve">    减：管理费用</t>
    <phoneticPr fontId="1" type="noConversion"/>
  </si>
  <si>
    <t>二、医疗结余</t>
    <phoneticPr fontId="1" type="noConversion"/>
  </si>
  <si>
    <t xml:space="preserve">    加：其他收入</t>
    <phoneticPr fontId="1" type="noConversion"/>
  </si>
  <si>
    <t xml:space="preserve">    减：其他支出</t>
    <phoneticPr fontId="1" type="noConversion"/>
  </si>
  <si>
    <t>三、本期结余</t>
    <phoneticPr fontId="1" type="noConversion"/>
  </si>
  <si>
    <t xml:space="preserve">    减：财政基本补助结转</t>
    <phoneticPr fontId="1" type="noConversion"/>
  </si>
  <si>
    <t>四、结转入结余分配</t>
    <phoneticPr fontId="1" type="noConversion"/>
  </si>
  <si>
    <t xml:space="preserve">    加：年初未弥补亏损</t>
    <phoneticPr fontId="1" type="noConversion"/>
  </si>
  <si>
    <t xml:space="preserve">    加：事业基金弥补亏损</t>
    <phoneticPr fontId="1" type="noConversion"/>
  </si>
  <si>
    <t xml:space="preserve">    减：提取职工福利基金</t>
    <phoneticPr fontId="1" type="noConversion"/>
  </si>
  <si>
    <t xml:space="preserve">    转入事业基金</t>
    <phoneticPr fontId="1" type="noConversion"/>
  </si>
  <si>
    <t xml:space="preserve">    年末未弥补亏损</t>
    <phoneticPr fontId="1" type="noConversion"/>
  </si>
  <si>
    <t>五、本期财政项目补助结转（余）：</t>
    <phoneticPr fontId="1" type="noConversion"/>
  </si>
  <si>
    <t xml:space="preserve">      财政项目补助收入</t>
    <phoneticPr fontId="1" type="noConversion"/>
  </si>
  <si>
    <t xml:space="preserve">      减：财政项目补助支出</t>
    <phoneticPr fontId="1" type="noConversion"/>
  </si>
  <si>
    <t>六、本期科教项目结转（余）：</t>
    <phoneticPr fontId="1" type="noConversion"/>
  </si>
  <si>
    <t xml:space="preserve">      科教项目收入</t>
    <phoneticPr fontId="1" type="noConversion"/>
  </si>
  <si>
    <t xml:space="preserve">      减：科教项目支出</t>
    <phoneticPr fontId="1" type="noConversion"/>
  </si>
  <si>
    <t>会医03表</t>
    <phoneticPr fontId="1" type="noConversion"/>
  </si>
  <si>
    <t xml:space="preserve">编制单位：                                         </t>
    <phoneticPr fontId="1" type="noConversion"/>
  </si>
  <si>
    <t>年度</t>
    <phoneticPr fontId="1" type="noConversion"/>
  </si>
  <si>
    <t xml:space="preserve">    项                   目</t>
    <phoneticPr fontId="3" type="noConversion"/>
  </si>
  <si>
    <t>行次</t>
    <phoneticPr fontId="3" type="noConversion"/>
  </si>
  <si>
    <t>一、业务活动产生的现金流量：</t>
    <phoneticPr fontId="1" type="noConversion"/>
  </si>
  <si>
    <t xml:space="preserve">         开展医疗服务活动收到的现金</t>
    <phoneticPr fontId="1" type="noConversion"/>
  </si>
  <si>
    <t xml:space="preserve">          财政基本支出补助收到的现金</t>
    <phoneticPr fontId="1" type="noConversion"/>
  </si>
  <si>
    <t xml:space="preserve">          财政非资本性项目补助收到的现金</t>
    <phoneticPr fontId="1" type="noConversion"/>
  </si>
  <si>
    <t xml:space="preserve">         从事科教项目活动收到的除财政补助以外的现金</t>
    <phoneticPr fontId="1" type="noConversion"/>
  </si>
  <si>
    <t xml:space="preserve">         收到的其他与业务活动有关的现金</t>
    <phoneticPr fontId="1" type="noConversion"/>
  </si>
  <si>
    <t>现金流入小计</t>
    <phoneticPr fontId="1" type="noConversion"/>
  </si>
  <si>
    <t xml:space="preserve">          发生人员经费支付的现金</t>
    <phoneticPr fontId="1" type="noConversion"/>
  </si>
  <si>
    <t xml:space="preserve">          购买药品支付的现金</t>
    <phoneticPr fontId="1" type="noConversion"/>
  </si>
  <si>
    <t xml:space="preserve">          购买卫生材料支付的现金</t>
    <phoneticPr fontId="1" type="noConversion"/>
  </si>
  <si>
    <t xml:space="preserve">          使用财政非资本性项目补助支付的现金</t>
    <phoneticPr fontId="1" type="noConversion"/>
  </si>
  <si>
    <t xml:space="preserve">          使用科教项目收入支付的现金</t>
    <phoneticPr fontId="1" type="noConversion"/>
  </si>
  <si>
    <t xml:space="preserve">          支付的其他与业务活动有关的现金</t>
    <phoneticPr fontId="1" type="noConversion"/>
  </si>
  <si>
    <t>现金流出小计</t>
    <phoneticPr fontId="1" type="noConversion"/>
  </si>
  <si>
    <t xml:space="preserve">          业务活动产生的现金流量净额</t>
    <phoneticPr fontId="1" type="noConversion"/>
  </si>
  <si>
    <t xml:space="preserve">         收回投资所收到的现金</t>
    <phoneticPr fontId="1" type="noConversion"/>
  </si>
  <si>
    <t xml:space="preserve">         取得投资收益收到的现金</t>
    <phoneticPr fontId="1" type="noConversion"/>
  </si>
  <si>
    <t xml:space="preserve">         处置固定资产、无形资产收回的现金净额</t>
    <phoneticPr fontId="3" type="noConversion"/>
  </si>
  <si>
    <t xml:space="preserve">         收到的其他与投资活动有关的现金</t>
    <phoneticPr fontId="1" type="noConversion"/>
  </si>
  <si>
    <t xml:space="preserve">         购建固定资产、无形资产支付的现金</t>
    <phoneticPr fontId="1" type="noConversion"/>
  </si>
  <si>
    <t xml:space="preserve">         对外投资支付的现金</t>
    <phoneticPr fontId="1" type="noConversion"/>
  </si>
  <si>
    <t xml:space="preserve">        上缴处置固定资产、无形资产收回现金净额支付的现金</t>
    <phoneticPr fontId="3" type="noConversion"/>
  </si>
  <si>
    <t xml:space="preserve">         支付的其他与投资活动有关的现金</t>
    <phoneticPr fontId="1" type="noConversion"/>
  </si>
  <si>
    <t xml:space="preserve">         投资活动产生的现金流量净额</t>
    <phoneticPr fontId="1" type="noConversion"/>
  </si>
  <si>
    <t xml:space="preserve">         取得财政资本性项目补助收到的现金</t>
    <phoneticPr fontId="1" type="noConversion"/>
  </si>
  <si>
    <t xml:space="preserve">         借款收到的现金</t>
    <phoneticPr fontId="1" type="noConversion"/>
  </si>
  <si>
    <t xml:space="preserve">         收到的其他与筹资活动有关的现金</t>
    <phoneticPr fontId="1" type="noConversion"/>
  </si>
  <si>
    <t xml:space="preserve">        偿还借款支付的现金</t>
    <phoneticPr fontId="1" type="noConversion"/>
  </si>
  <si>
    <t xml:space="preserve">        偿还利息支付的现金</t>
    <phoneticPr fontId="1" type="noConversion"/>
  </si>
  <si>
    <t xml:space="preserve">        支付其他与筹资活动有关的现金</t>
    <phoneticPr fontId="1" type="noConversion"/>
  </si>
  <si>
    <t xml:space="preserve">          筹资活动产生的现金流量净额</t>
    <phoneticPr fontId="1" type="noConversion"/>
  </si>
  <si>
    <t>四、汇率变动对现金的影响额</t>
    <phoneticPr fontId="3" type="noConversion"/>
  </si>
  <si>
    <t>五、现金净增加额</t>
    <phoneticPr fontId="1" type="noConversion"/>
  </si>
  <si>
    <t>年 月 日</t>
    <phoneticPr fontId="1" type="noConversion"/>
  </si>
  <si>
    <t>编制单位：</t>
    <phoneticPr fontId="3" type="noConversion"/>
  </si>
  <si>
    <t>货币单位：人民币元</t>
    <phoneticPr fontId="3" type="noConversion"/>
  </si>
  <si>
    <t>年初余额</t>
    <phoneticPr fontId="3" type="noConversion"/>
  </si>
  <si>
    <t>负债和净资产</t>
    <phoneticPr fontId="1" type="noConversion"/>
  </si>
  <si>
    <t>流动资产：</t>
    <phoneticPr fontId="1" type="noConversion"/>
  </si>
  <si>
    <t>负债：</t>
    <phoneticPr fontId="1" type="noConversion"/>
  </si>
  <si>
    <t>货币资金</t>
    <phoneticPr fontId="3" type="noConversion"/>
  </si>
  <si>
    <t>借入款</t>
    <phoneticPr fontId="1" type="noConversion"/>
  </si>
  <si>
    <t>财政应返还额度</t>
    <phoneticPr fontId="1" type="noConversion"/>
  </si>
  <si>
    <t>待结算医疗款</t>
    <phoneticPr fontId="1" type="noConversion"/>
  </si>
  <si>
    <t>应收医疗款</t>
    <phoneticPr fontId="1" type="noConversion"/>
  </si>
  <si>
    <t>应缴款项</t>
    <phoneticPr fontId="1" type="noConversion"/>
  </si>
  <si>
    <t>其他应收款</t>
    <phoneticPr fontId="1" type="noConversion"/>
  </si>
  <si>
    <t>应付账款</t>
    <phoneticPr fontId="1" type="noConversion"/>
  </si>
  <si>
    <t>库存物资</t>
    <phoneticPr fontId="1" type="noConversion"/>
  </si>
  <si>
    <t>预收医疗款</t>
    <phoneticPr fontId="1" type="noConversion"/>
  </si>
  <si>
    <t>待摊支出</t>
    <phoneticPr fontId="1" type="noConversion"/>
  </si>
  <si>
    <t>应付职工薪酬</t>
    <phoneticPr fontId="1" type="noConversion"/>
  </si>
  <si>
    <t xml:space="preserve">流动资产合计 </t>
    <phoneticPr fontId="1" type="noConversion"/>
  </si>
  <si>
    <t>应付社会保障费</t>
    <phoneticPr fontId="1" type="noConversion"/>
  </si>
  <si>
    <t>应交税费</t>
    <phoneticPr fontId="1" type="noConversion"/>
  </si>
  <si>
    <t>非流动资产：</t>
    <phoneticPr fontId="1" type="noConversion"/>
  </si>
  <si>
    <t>其他应付款</t>
    <phoneticPr fontId="1" type="noConversion"/>
  </si>
  <si>
    <t>固定资产</t>
    <phoneticPr fontId="1" type="noConversion"/>
  </si>
  <si>
    <t xml:space="preserve">负债合计 </t>
    <phoneticPr fontId="1" type="noConversion"/>
  </si>
  <si>
    <t>在建工程</t>
    <phoneticPr fontId="1" type="noConversion"/>
  </si>
  <si>
    <t>无形资产</t>
    <phoneticPr fontId="1" type="noConversion"/>
  </si>
  <si>
    <t>净资产：</t>
    <phoneticPr fontId="1" type="noConversion"/>
  </si>
  <si>
    <t>非流动资产合计</t>
    <phoneticPr fontId="3" type="noConversion"/>
  </si>
  <si>
    <t>固定基金</t>
    <phoneticPr fontId="1" type="noConversion"/>
  </si>
  <si>
    <t>事业基金</t>
    <phoneticPr fontId="1" type="noConversion"/>
  </si>
  <si>
    <t>专用基金</t>
    <phoneticPr fontId="1" type="noConversion"/>
  </si>
  <si>
    <t>政府补助结转（余）</t>
    <phoneticPr fontId="1" type="noConversion"/>
  </si>
  <si>
    <t>其他限定用途结转（余）</t>
    <phoneticPr fontId="1" type="noConversion"/>
  </si>
  <si>
    <t>本期结余</t>
    <phoneticPr fontId="1" type="noConversion"/>
  </si>
  <si>
    <t>未弥补亏损</t>
    <phoneticPr fontId="1" type="noConversion"/>
  </si>
  <si>
    <t>净资产合计</t>
    <phoneticPr fontId="1" type="noConversion"/>
  </si>
  <si>
    <t>负债和净资产总计</t>
    <phoneticPr fontId="1" type="noConversion"/>
  </si>
  <si>
    <t xml:space="preserve">年 </t>
    <phoneticPr fontId="3" type="noConversion"/>
  </si>
  <si>
    <t>货币单位：人民币元</t>
  </si>
  <si>
    <r>
      <t>项</t>
    </r>
    <r>
      <rPr>
        <b/>
        <sz val="10"/>
        <rFont val="Times New Roman"/>
        <family val="1"/>
      </rPr>
      <t xml:space="preserve">               </t>
    </r>
    <r>
      <rPr>
        <b/>
        <sz val="10"/>
        <rFont val="宋体"/>
        <charset val="134"/>
      </rPr>
      <t>目</t>
    </r>
    <phoneticPr fontId="3" type="noConversion"/>
  </si>
  <si>
    <t>一、收入</t>
    <phoneticPr fontId="3" type="noConversion"/>
  </si>
  <si>
    <t>医疗收入</t>
    <phoneticPr fontId="1" type="noConversion"/>
  </si>
  <si>
    <t>上级补助收入</t>
    <phoneticPr fontId="1" type="noConversion"/>
  </si>
  <si>
    <t>其他收入</t>
    <phoneticPr fontId="1" type="noConversion"/>
  </si>
  <si>
    <t>二、支出</t>
    <phoneticPr fontId="1" type="noConversion"/>
  </si>
  <si>
    <t>医疗卫生支出</t>
    <phoneticPr fontId="1" type="noConversion"/>
  </si>
  <si>
    <t xml:space="preserve">    其中：医疗支出</t>
    <phoneticPr fontId="1" type="noConversion"/>
  </si>
  <si>
    <t xml:space="preserve">          公共卫生支出</t>
    <phoneticPr fontId="1" type="noConversion"/>
  </si>
  <si>
    <t>财政基建设备补助支出</t>
    <phoneticPr fontId="1" type="noConversion"/>
  </si>
  <si>
    <t>其他支出</t>
    <phoneticPr fontId="1" type="noConversion"/>
  </si>
  <si>
    <t>三、本期结余</t>
    <phoneticPr fontId="1" type="noConversion"/>
  </si>
  <si>
    <t>减：财政补助结余（余）</t>
    <phoneticPr fontId="1" type="noConversion"/>
  </si>
  <si>
    <t>减：其他限定用途结转（余）</t>
    <phoneticPr fontId="1" type="noConversion"/>
  </si>
  <si>
    <t>四、结余分配</t>
    <phoneticPr fontId="1" type="noConversion"/>
  </si>
  <si>
    <t>加：年初未弥补亏损</t>
    <phoneticPr fontId="1" type="noConversion"/>
  </si>
  <si>
    <t>加：事业基金弥补亏损</t>
    <phoneticPr fontId="1" type="noConversion"/>
  </si>
  <si>
    <t>年末未弥补亏损</t>
    <phoneticPr fontId="1" type="noConversion"/>
  </si>
  <si>
    <t>减：提取专用基金</t>
    <phoneticPr fontId="1" type="noConversion"/>
  </si>
  <si>
    <t xml:space="preserve">    其中：提取职工福利基金</t>
    <phoneticPr fontId="1" type="noConversion"/>
  </si>
  <si>
    <t xml:space="preserve">          提取奖励基金</t>
    <phoneticPr fontId="1" type="noConversion"/>
  </si>
  <si>
    <t xml:space="preserve">          提取其他专用基金</t>
    <phoneticPr fontId="1" type="noConversion"/>
  </si>
  <si>
    <t>五、转入事业基金</t>
    <phoneticPr fontId="3" type="noConversion"/>
  </si>
  <si>
    <r>
      <rPr>
        <sz val="10"/>
        <color indexed="8"/>
        <rFont val="宋体"/>
        <charset val="134"/>
      </rPr>
      <t>会科</t>
    </r>
    <r>
      <rPr>
        <sz val="10"/>
        <color indexed="8"/>
        <rFont val="Times New Roman"/>
        <family val="1"/>
      </rPr>
      <t>01</t>
    </r>
    <r>
      <rPr>
        <sz val="10"/>
        <color indexed="8"/>
        <rFont val="宋体"/>
        <charset val="134"/>
      </rPr>
      <t>表</t>
    </r>
    <phoneticPr fontId="1" type="noConversion"/>
  </si>
  <si>
    <r>
      <rPr>
        <sz val="10"/>
        <color indexed="8"/>
        <rFont val="宋体"/>
        <charset val="134"/>
      </rPr>
      <t>年</t>
    </r>
    <r>
      <rPr>
        <sz val="10"/>
        <color indexed="8"/>
        <rFont val="Times New Roman"/>
        <family val="1"/>
      </rPr>
      <t xml:space="preserve"> </t>
    </r>
    <r>
      <rPr>
        <sz val="10"/>
        <color indexed="8"/>
        <rFont val="宋体"/>
        <charset val="134"/>
      </rPr>
      <t>月</t>
    </r>
    <r>
      <rPr>
        <sz val="10"/>
        <color indexed="8"/>
        <rFont val="Times New Roman"/>
        <family val="1"/>
      </rPr>
      <t xml:space="preserve"> </t>
    </r>
    <r>
      <rPr>
        <sz val="10"/>
        <color indexed="8"/>
        <rFont val="宋体"/>
        <charset val="134"/>
      </rPr>
      <t>日</t>
    </r>
  </si>
  <si>
    <r>
      <rPr>
        <sz val="10"/>
        <color indexed="8"/>
        <rFont val="宋体"/>
        <charset val="134"/>
      </rPr>
      <t>单位：元</t>
    </r>
  </si>
  <si>
    <r>
      <rPr>
        <b/>
        <sz val="10"/>
        <color indexed="8"/>
        <rFont val="宋体"/>
        <charset val="134"/>
      </rPr>
      <t>资产</t>
    </r>
  </si>
  <si>
    <r>
      <rPr>
        <b/>
        <sz val="10"/>
        <color indexed="8"/>
        <rFont val="宋体"/>
        <charset val="134"/>
      </rPr>
      <t>期末余额</t>
    </r>
  </si>
  <si>
    <r>
      <rPr>
        <b/>
        <sz val="10"/>
        <color indexed="8"/>
        <rFont val="宋体"/>
        <charset val="134"/>
      </rPr>
      <t>年初余额</t>
    </r>
  </si>
  <si>
    <r>
      <rPr>
        <b/>
        <sz val="10"/>
        <color indexed="8"/>
        <rFont val="宋体"/>
        <charset val="134"/>
      </rPr>
      <t>负债和净资产</t>
    </r>
  </si>
  <si>
    <r>
      <rPr>
        <b/>
        <sz val="10"/>
        <color indexed="8"/>
        <rFont val="宋体"/>
        <charset val="134"/>
      </rPr>
      <t>流动资产：</t>
    </r>
  </si>
  <si>
    <r>
      <rPr>
        <b/>
        <sz val="10"/>
        <color indexed="8"/>
        <rFont val="宋体"/>
        <charset val="134"/>
      </rPr>
      <t>流动负债：</t>
    </r>
  </si>
  <si>
    <r>
      <rPr>
        <sz val="10"/>
        <color indexed="8"/>
        <rFont val="宋体"/>
        <charset val="134"/>
      </rPr>
      <t>货币资金</t>
    </r>
  </si>
  <si>
    <r>
      <rPr>
        <sz val="10"/>
        <color indexed="8"/>
        <rFont val="宋体"/>
        <charset val="134"/>
      </rPr>
      <t>短期借款</t>
    </r>
  </si>
  <si>
    <r>
      <rPr>
        <sz val="10"/>
        <color indexed="8"/>
        <rFont val="宋体"/>
        <charset val="134"/>
      </rPr>
      <t>短期投资</t>
    </r>
  </si>
  <si>
    <r>
      <rPr>
        <sz val="10"/>
        <color indexed="8"/>
        <rFont val="宋体"/>
        <charset val="134"/>
      </rPr>
      <t>应缴税费</t>
    </r>
  </si>
  <si>
    <r>
      <rPr>
        <sz val="10"/>
        <color indexed="8"/>
        <rFont val="宋体"/>
        <charset val="134"/>
      </rPr>
      <t>财政应返还额度</t>
    </r>
  </si>
  <si>
    <r>
      <rPr>
        <sz val="10"/>
        <color indexed="8"/>
        <rFont val="宋体"/>
        <charset val="134"/>
      </rPr>
      <t>应缴国库款</t>
    </r>
  </si>
  <si>
    <r>
      <rPr>
        <sz val="10"/>
        <color indexed="8"/>
        <rFont val="宋体"/>
        <charset val="134"/>
      </rPr>
      <t>应收票据</t>
    </r>
  </si>
  <si>
    <r>
      <rPr>
        <sz val="10"/>
        <color indexed="8"/>
        <rFont val="宋体"/>
        <charset val="134"/>
      </rPr>
      <t>应缴财政专户款</t>
    </r>
  </si>
  <si>
    <r>
      <rPr>
        <sz val="10"/>
        <color indexed="8"/>
        <rFont val="宋体"/>
        <charset val="134"/>
      </rPr>
      <t>应收账款</t>
    </r>
  </si>
  <si>
    <r>
      <rPr>
        <sz val="10"/>
        <color indexed="8"/>
        <rFont val="宋体"/>
        <charset val="134"/>
      </rPr>
      <t>应付职工薪酬</t>
    </r>
  </si>
  <si>
    <r>
      <rPr>
        <sz val="10"/>
        <color indexed="8"/>
        <rFont val="宋体"/>
        <charset val="134"/>
      </rPr>
      <t>预付账款</t>
    </r>
  </si>
  <si>
    <r>
      <rPr>
        <sz val="10"/>
        <color indexed="8"/>
        <rFont val="宋体"/>
        <charset val="134"/>
      </rPr>
      <t>应付票据</t>
    </r>
  </si>
  <si>
    <r>
      <rPr>
        <sz val="10"/>
        <color indexed="8"/>
        <rFont val="宋体"/>
        <charset val="134"/>
      </rPr>
      <t>其他应收款</t>
    </r>
  </si>
  <si>
    <r>
      <rPr>
        <sz val="10"/>
        <color indexed="8"/>
        <rFont val="宋体"/>
        <charset val="134"/>
      </rPr>
      <t>应付账款</t>
    </r>
  </si>
  <si>
    <t>库存材料</t>
    <phoneticPr fontId="1" type="noConversion"/>
  </si>
  <si>
    <r>
      <rPr>
        <sz val="10"/>
        <color indexed="8"/>
        <rFont val="宋体"/>
        <charset val="134"/>
      </rPr>
      <t>预收账款</t>
    </r>
  </si>
  <si>
    <t>科技产品</t>
    <phoneticPr fontId="1" type="noConversion"/>
  </si>
  <si>
    <r>
      <rPr>
        <sz val="10"/>
        <color indexed="8"/>
        <rFont val="宋体"/>
        <charset val="134"/>
      </rPr>
      <t>其他应付款</t>
    </r>
  </si>
  <si>
    <r>
      <rPr>
        <sz val="10"/>
        <color indexed="8"/>
        <rFont val="宋体"/>
        <charset val="134"/>
      </rPr>
      <t>其他流动资产</t>
    </r>
  </si>
  <si>
    <r>
      <rPr>
        <sz val="10"/>
        <color indexed="8"/>
        <rFont val="宋体"/>
        <charset val="134"/>
      </rPr>
      <t>其他流动负债</t>
    </r>
  </si>
  <si>
    <r>
      <rPr>
        <sz val="10"/>
        <color indexed="8"/>
        <rFont val="宋体"/>
        <charset val="134"/>
      </rPr>
      <t>流动资产合计</t>
    </r>
  </si>
  <si>
    <r>
      <rPr>
        <sz val="10"/>
        <color indexed="8"/>
        <rFont val="宋体"/>
        <charset val="134"/>
      </rPr>
      <t>流动负债合计</t>
    </r>
  </si>
  <si>
    <r>
      <rPr>
        <b/>
        <sz val="10"/>
        <color indexed="8"/>
        <rFont val="宋体"/>
        <charset val="134"/>
      </rPr>
      <t>非流动负债：</t>
    </r>
  </si>
  <si>
    <r>
      <rPr>
        <sz val="10"/>
        <color indexed="8"/>
        <rFont val="宋体"/>
        <charset val="134"/>
      </rPr>
      <t>长期投资</t>
    </r>
  </si>
  <si>
    <r>
      <rPr>
        <sz val="10"/>
        <color indexed="8"/>
        <rFont val="宋体"/>
        <charset val="134"/>
      </rPr>
      <t>长期借款</t>
    </r>
  </si>
  <si>
    <r>
      <rPr>
        <sz val="10"/>
        <color indexed="8"/>
        <rFont val="宋体"/>
        <charset val="134"/>
      </rPr>
      <t>固定资产</t>
    </r>
  </si>
  <si>
    <r>
      <rPr>
        <sz val="10"/>
        <color indexed="8"/>
        <rFont val="宋体"/>
        <charset val="134"/>
      </rPr>
      <t>长期应付款</t>
    </r>
  </si>
  <si>
    <r>
      <rPr>
        <sz val="10"/>
        <color indexed="8"/>
        <rFont val="宋体"/>
        <charset val="134"/>
      </rPr>
      <t>固定资产原价</t>
    </r>
  </si>
  <si>
    <r>
      <rPr>
        <sz val="10"/>
        <color indexed="8"/>
        <rFont val="宋体"/>
        <charset val="134"/>
      </rPr>
      <t>非流动负债合计</t>
    </r>
  </si>
  <si>
    <r>
      <rPr>
        <sz val="10"/>
        <color indexed="8"/>
        <rFont val="宋体"/>
        <charset val="134"/>
      </rPr>
      <t>减：累计折旧</t>
    </r>
  </si>
  <si>
    <r>
      <rPr>
        <sz val="10"/>
        <color indexed="8"/>
        <rFont val="宋体"/>
        <charset val="134"/>
      </rPr>
      <t>在建工程</t>
    </r>
  </si>
  <si>
    <r>
      <rPr>
        <b/>
        <sz val="10"/>
        <color indexed="8"/>
        <rFont val="宋体"/>
        <charset val="134"/>
      </rPr>
      <t>净资产：</t>
    </r>
  </si>
  <si>
    <r>
      <rPr>
        <sz val="10"/>
        <color indexed="8"/>
        <rFont val="宋体"/>
        <charset val="134"/>
      </rPr>
      <t>无形资产</t>
    </r>
  </si>
  <si>
    <r>
      <rPr>
        <sz val="10"/>
        <color indexed="8"/>
        <rFont val="宋体"/>
        <charset val="134"/>
      </rPr>
      <t>事业基金</t>
    </r>
  </si>
  <si>
    <r>
      <rPr>
        <sz val="10"/>
        <color indexed="8"/>
        <rFont val="宋体"/>
        <charset val="134"/>
      </rPr>
      <t>无形资产原价</t>
    </r>
  </si>
  <si>
    <r>
      <rPr>
        <sz val="10"/>
        <color indexed="8"/>
        <rFont val="宋体"/>
        <charset val="134"/>
      </rPr>
      <t>非流动资产基金</t>
    </r>
  </si>
  <si>
    <r>
      <rPr>
        <sz val="10"/>
        <color indexed="8"/>
        <rFont val="宋体"/>
        <charset val="134"/>
      </rPr>
      <t>减：累计摊销</t>
    </r>
  </si>
  <si>
    <r>
      <rPr>
        <sz val="10"/>
        <color indexed="8"/>
        <rFont val="宋体"/>
        <charset val="134"/>
      </rPr>
      <t>专用基金</t>
    </r>
  </si>
  <si>
    <r>
      <rPr>
        <sz val="10"/>
        <color indexed="8"/>
        <rFont val="宋体"/>
        <charset val="134"/>
      </rPr>
      <t>待处置资产损溢</t>
    </r>
  </si>
  <si>
    <r>
      <rPr>
        <sz val="10"/>
        <color indexed="8"/>
        <rFont val="宋体"/>
        <charset val="134"/>
      </rPr>
      <t>财政补助结转</t>
    </r>
  </si>
  <si>
    <r>
      <rPr>
        <sz val="10"/>
        <color indexed="8"/>
        <rFont val="宋体"/>
        <charset val="134"/>
      </rPr>
      <t>非流动资产合计</t>
    </r>
  </si>
  <si>
    <r>
      <rPr>
        <sz val="10"/>
        <color indexed="8"/>
        <rFont val="宋体"/>
        <charset val="134"/>
      </rPr>
      <t>财政补助结余</t>
    </r>
  </si>
  <si>
    <r>
      <rPr>
        <sz val="10"/>
        <color indexed="8"/>
        <rFont val="宋体"/>
        <charset val="134"/>
      </rPr>
      <t>非财政补助结转</t>
    </r>
  </si>
  <si>
    <r>
      <rPr>
        <sz val="10"/>
        <color indexed="8"/>
        <rFont val="宋体"/>
        <charset val="134"/>
      </rPr>
      <t>非财政补助结余</t>
    </r>
  </si>
  <si>
    <r>
      <t>1.</t>
    </r>
    <r>
      <rPr>
        <sz val="10"/>
        <color indexed="8"/>
        <rFont val="宋体"/>
        <charset val="134"/>
      </rPr>
      <t>事业结余</t>
    </r>
  </si>
  <si>
    <r>
      <t>2.</t>
    </r>
    <r>
      <rPr>
        <sz val="10"/>
        <color indexed="8"/>
        <rFont val="宋体"/>
        <charset val="134"/>
      </rPr>
      <t>经营结余</t>
    </r>
  </si>
  <si>
    <r>
      <rPr>
        <b/>
        <sz val="10"/>
        <color indexed="8"/>
        <rFont val="宋体"/>
        <charset val="134"/>
      </rPr>
      <t>净资产合计</t>
    </r>
  </si>
  <si>
    <r>
      <rPr>
        <b/>
        <sz val="10"/>
        <color indexed="8"/>
        <rFont val="宋体"/>
        <charset val="134"/>
      </rPr>
      <t>资产合计</t>
    </r>
  </si>
  <si>
    <r>
      <rPr>
        <b/>
        <sz val="10"/>
        <color indexed="8"/>
        <rFont val="宋体"/>
        <charset val="134"/>
      </rPr>
      <t>负债和净资产总计</t>
    </r>
  </si>
  <si>
    <r>
      <rPr>
        <sz val="10"/>
        <color indexed="8"/>
        <rFont val="宋体"/>
        <charset val="134"/>
      </rPr>
      <t>会科</t>
    </r>
    <r>
      <rPr>
        <sz val="10"/>
        <color indexed="8"/>
        <rFont val="Times New Roman"/>
        <family val="1"/>
      </rPr>
      <t>02</t>
    </r>
    <r>
      <rPr>
        <sz val="10"/>
        <color indexed="8"/>
        <rFont val="宋体"/>
        <charset val="134"/>
      </rPr>
      <t>表</t>
    </r>
    <phoneticPr fontId="1" type="noConversion"/>
  </si>
  <si>
    <r>
      <rPr>
        <sz val="10"/>
        <color indexed="8"/>
        <rFont val="宋体"/>
        <charset val="134"/>
      </rPr>
      <t>编制单位</t>
    </r>
    <phoneticPr fontId="1" type="noConversion"/>
  </si>
  <si>
    <r>
      <rPr>
        <sz val="10"/>
        <color indexed="8"/>
        <rFont val="宋体"/>
        <charset val="134"/>
      </rPr>
      <t>年</t>
    </r>
    <r>
      <rPr>
        <sz val="10"/>
        <color indexed="8"/>
        <rFont val="Times New Roman"/>
        <family val="1"/>
      </rPr>
      <t xml:space="preserve">  </t>
    </r>
    <phoneticPr fontId="1" type="noConversion"/>
  </si>
  <si>
    <r>
      <rPr>
        <b/>
        <sz val="10"/>
        <color indexed="8"/>
        <rFont val="宋体"/>
        <charset val="134"/>
      </rPr>
      <t>本年累计数</t>
    </r>
    <phoneticPr fontId="1" type="noConversion"/>
  </si>
  <si>
    <r>
      <rPr>
        <b/>
        <sz val="10"/>
        <color indexed="8"/>
        <rFont val="宋体"/>
        <charset val="134"/>
      </rPr>
      <t>一、本期收入</t>
    </r>
    <phoneticPr fontId="1" type="noConversion"/>
  </si>
  <si>
    <r>
      <rPr>
        <sz val="10"/>
        <color indexed="8"/>
        <rFont val="宋体"/>
        <charset val="134"/>
      </rPr>
      <t>（一）财政补助收入</t>
    </r>
    <phoneticPr fontId="1" type="noConversion"/>
  </si>
  <si>
    <r>
      <rPr>
        <sz val="10"/>
        <color indexed="8"/>
        <rFont val="宋体"/>
        <charset val="134"/>
      </rPr>
      <t>（二）事业收入</t>
    </r>
    <phoneticPr fontId="1" type="noConversion"/>
  </si>
  <si>
    <r>
      <t>1.</t>
    </r>
    <r>
      <rPr>
        <sz val="10"/>
        <color indexed="8"/>
        <rFont val="宋体"/>
        <charset val="134"/>
      </rPr>
      <t>科研收入</t>
    </r>
    <phoneticPr fontId="1" type="noConversion"/>
  </si>
  <si>
    <r>
      <t>2.</t>
    </r>
    <r>
      <rPr>
        <sz val="10"/>
        <color indexed="8"/>
        <rFont val="宋体"/>
        <charset val="134"/>
      </rPr>
      <t>非科研收入</t>
    </r>
    <phoneticPr fontId="1" type="noConversion"/>
  </si>
  <si>
    <r>
      <rPr>
        <sz val="10"/>
        <color indexed="8"/>
        <rFont val="宋体"/>
        <charset val="134"/>
      </rPr>
      <t>（</t>
    </r>
    <r>
      <rPr>
        <sz val="10"/>
        <color indexed="8"/>
        <rFont val="Times New Roman"/>
        <family val="1"/>
      </rPr>
      <t>1</t>
    </r>
    <r>
      <rPr>
        <sz val="10"/>
        <color indexed="8"/>
        <rFont val="宋体"/>
        <charset val="134"/>
      </rPr>
      <t>）技术收入</t>
    </r>
    <phoneticPr fontId="1" type="noConversion"/>
  </si>
  <si>
    <r>
      <rPr>
        <sz val="10"/>
        <color indexed="8"/>
        <rFont val="宋体"/>
        <charset val="134"/>
      </rPr>
      <t>（</t>
    </r>
    <r>
      <rPr>
        <sz val="10"/>
        <color indexed="8"/>
        <rFont val="Times New Roman"/>
        <family val="1"/>
      </rPr>
      <t>2</t>
    </r>
    <r>
      <rPr>
        <sz val="10"/>
        <color indexed="8"/>
        <rFont val="宋体"/>
        <charset val="134"/>
      </rPr>
      <t>）学术活动收入</t>
    </r>
    <phoneticPr fontId="1" type="noConversion"/>
  </si>
  <si>
    <r>
      <rPr>
        <sz val="10"/>
        <color indexed="8"/>
        <rFont val="宋体"/>
        <charset val="134"/>
      </rPr>
      <t>（</t>
    </r>
    <r>
      <rPr>
        <sz val="10"/>
        <color indexed="8"/>
        <rFont val="Times New Roman"/>
        <family val="1"/>
      </rPr>
      <t>3</t>
    </r>
    <r>
      <rPr>
        <sz val="10"/>
        <color indexed="8"/>
        <rFont val="宋体"/>
        <charset val="134"/>
      </rPr>
      <t>）科普活动收入</t>
    </r>
    <phoneticPr fontId="1" type="noConversion"/>
  </si>
  <si>
    <r>
      <rPr>
        <sz val="10"/>
        <color indexed="8"/>
        <rFont val="宋体"/>
        <charset val="134"/>
      </rPr>
      <t>（</t>
    </r>
    <r>
      <rPr>
        <sz val="10"/>
        <color indexed="8"/>
        <rFont val="Times New Roman"/>
        <family val="1"/>
      </rPr>
      <t>4</t>
    </r>
    <r>
      <rPr>
        <sz val="10"/>
        <color indexed="8"/>
        <rFont val="宋体"/>
        <charset val="134"/>
      </rPr>
      <t>）试制产品收入</t>
    </r>
    <phoneticPr fontId="1" type="noConversion"/>
  </si>
  <si>
    <r>
      <rPr>
        <sz val="10"/>
        <color indexed="8"/>
        <rFont val="宋体"/>
        <charset val="134"/>
      </rPr>
      <t>（</t>
    </r>
    <r>
      <rPr>
        <sz val="10"/>
        <color indexed="8"/>
        <rFont val="Times New Roman"/>
        <family val="1"/>
      </rPr>
      <t>5</t>
    </r>
    <r>
      <rPr>
        <sz val="10"/>
        <color indexed="8"/>
        <rFont val="宋体"/>
        <charset val="134"/>
      </rPr>
      <t>）教学活动收入</t>
    </r>
    <phoneticPr fontId="1" type="noConversion"/>
  </si>
  <si>
    <r>
      <rPr>
        <sz val="10"/>
        <color indexed="8"/>
        <rFont val="宋体"/>
        <charset val="134"/>
      </rPr>
      <t>（三）上级补助收入</t>
    </r>
    <phoneticPr fontId="1" type="noConversion"/>
  </si>
  <si>
    <t>（四）附属单位上缴收入</t>
    <phoneticPr fontId="1" type="noConversion"/>
  </si>
  <si>
    <r>
      <rPr>
        <sz val="10"/>
        <color indexed="8"/>
        <rFont val="宋体"/>
        <charset val="134"/>
      </rPr>
      <t>（五）经营收入</t>
    </r>
    <phoneticPr fontId="1" type="noConversion"/>
  </si>
  <si>
    <r>
      <rPr>
        <sz val="10"/>
        <color indexed="8"/>
        <rFont val="宋体"/>
        <charset val="134"/>
      </rPr>
      <t>（六）其他收入</t>
    </r>
    <phoneticPr fontId="1" type="noConversion"/>
  </si>
  <si>
    <r>
      <rPr>
        <b/>
        <sz val="10"/>
        <color indexed="8"/>
        <rFont val="宋体"/>
        <charset val="134"/>
      </rPr>
      <t>二、本期支出</t>
    </r>
    <phoneticPr fontId="1" type="noConversion"/>
  </si>
  <si>
    <r>
      <rPr>
        <sz val="10"/>
        <color indexed="8"/>
        <rFont val="宋体"/>
        <charset val="134"/>
      </rPr>
      <t>（一）事业支出（财政补助支出）</t>
    </r>
    <phoneticPr fontId="1" type="noConversion"/>
  </si>
  <si>
    <r>
      <t>1.</t>
    </r>
    <r>
      <rPr>
        <sz val="10"/>
        <color indexed="8"/>
        <rFont val="宋体"/>
        <charset val="134"/>
      </rPr>
      <t>科研支出</t>
    </r>
    <phoneticPr fontId="1" type="noConversion"/>
  </si>
  <si>
    <r>
      <t>2.</t>
    </r>
    <r>
      <rPr>
        <sz val="10"/>
        <color indexed="8"/>
        <rFont val="宋体"/>
        <charset val="134"/>
      </rPr>
      <t>非科研支出</t>
    </r>
    <phoneticPr fontId="1" type="noConversion"/>
  </si>
  <si>
    <r>
      <rPr>
        <sz val="10"/>
        <color indexed="8"/>
        <rFont val="宋体"/>
        <charset val="134"/>
      </rPr>
      <t>（</t>
    </r>
    <r>
      <rPr>
        <sz val="10"/>
        <color indexed="8"/>
        <rFont val="Times New Roman"/>
        <family val="1"/>
      </rPr>
      <t>1</t>
    </r>
    <r>
      <rPr>
        <sz val="10"/>
        <color indexed="8"/>
        <rFont val="宋体"/>
        <charset val="134"/>
      </rPr>
      <t>）技术支出</t>
    </r>
    <phoneticPr fontId="1" type="noConversion"/>
  </si>
  <si>
    <r>
      <rPr>
        <sz val="10"/>
        <color indexed="8"/>
        <rFont val="宋体"/>
        <charset val="134"/>
      </rPr>
      <t>（</t>
    </r>
    <r>
      <rPr>
        <sz val="10"/>
        <color indexed="8"/>
        <rFont val="Times New Roman"/>
        <family val="1"/>
      </rPr>
      <t>2</t>
    </r>
    <r>
      <rPr>
        <sz val="10"/>
        <color indexed="8"/>
        <rFont val="宋体"/>
        <charset val="134"/>
      </rPr>
      <t>）学术活动支出</t>
    </r>
    <phoneticPr fontId="1" type="noConversion"/>
  </si>
  <si>
    <r>
      <rPr>
        <sz val="10"/>
        <color indexed="8"/>
        <rFont val="宋体"/>
        <charset val="134"/>
      </rPr>
      <t>（</t>
    </r>
    <r>
      <rPr>
        <sz val="10"/>
        <color indexed="8"/>
        <rFont val="Times New Roman"/>
        <family val="1"/>
      </rPr>
      <t>3</t>
    </r>
    <r>
      <rPr>
        <sz val="10"/>
        <color indexed="8"/>
        <rFont val="宋体"/>
        <charset val="134"/>
      </rPr>
      <t>）科普活动支出</t>
    </r>
    <phoneticPr fontId="1" type="noConversion"/>
  </si>
  <si>
    <r>
      <rPr>
        <sz val="10"/>
        <color indexed="8"/>
        <rFont val="宋体"/>
        <charset val="134"/>
      </rPr>
      <t>（</t>
    </r>
    <r>
      <rPr>
        <sz val="10"/>
        <color indexed="8"/>
        <rFont val="Times New Roman"/>
        <family val="1"/>
      </rPr>
      <t>4</t>
    </r>
    <r>
      <rPr>
        <sz val="10"/>
        <color indexed="8"/>
        <rFont val="宋体"/>
        <charset val="134"/>
      </rPr>
      <t>）试制产品支出</t>
    </r>
    <phoneticPr fontId="1" type="noConversion"/>
  </si>
  <si>
    <r>
      <rPr>
        <sz val="10"/>
        <color indexed="8"/>
        <rFont val="宋体"/>
        <charset val="134"/>
      </rPr>
      <t>（</t>
    </r>
    <r>
      <rPr>
        <sz val="10"/>
        <color indexed="8"/>
        <rFont val="Times New Roman"/>
        <family val="1"/>
      </rPr>
      <t>5</t>
    </r>
    <r>
      <rPr>
        <sz val="10"/>
        <color indexed="8"/>
        <rFont val="宋体"/>
        <charset val="134"/>
      </rPr>
      <t>）教学活动支出</t>
    </r>
    <phoneticPr fontId="1" type="noConversion"/>
  </si>
  <si>
    <r>
      <t>3.</t>
    </r>
    <r>
      <rPr>
        <sz val="10"/>
        <color indexed="8"/>
        <rFont val="宋体"/>
        <charset val="134"/>
      </rPr>
      <t>行政管理支出</t>
    </r>
    <phoneticPr fontId="1" type="noConversion"/>
  </si>
  <si>
    <r>
      <t>4.</t>
    </r>
    <r>
      <rPr>
        <sz val="10"/>
        <color indexed="8"/>
        <rFont val="宋体"/>
        <charset val="134"/>
      </rPr>
      <t>后勤保障支出</t>
    </r>
    <phoneticPr fontId="1" type="noConversion"/>
  </si>
  <si>
    <r>
      <t>5.</t>
    </r>
    <r>
      <rPr>
        <sz val="10"/>
        <color indexed="8"/>
        <rFont val="宋体"/>
        <charset val="134"/>
      </rPr>
      <t>离退休支出</t>
    </r>
    <phoneticPr fontId="1" type="noConversion"/>
  </si>
  <si>
    <r>
      <rPr>
        <sz val="10"/>
        <color indexed="8"/>
        <rFont val="宋体"/>
        <charset val="134"/>
      </rPr>
      <t>（二）非财政补助支出</t>
    </r>
    <phoneticPr fontId="1" type="noConversion"/>
  </si>
  <si>
    <r>
      <t>1.</t>
    </r>
    <r>
      <rPr>
        <sz val="10"/>
        <color indexed="8"/>
        <rFont val="宋体"/>
        <charset val="134"/>
      </rPr>
      <t>事业支出</t>
    </r>
    <phoneticPr fontId="1" type="noConversion"/>
  </si>
  <si>
    <r>
      <rPr>
        <sz val="10"/>
        <color indexed="8"/>
        <rFont val="宋体"/>
        <charset val="134"/>
      </rPr>
      <t>（</t>
    </r>
    <r>
      <rPr>
        <sz val="10"/>
        <color indexed="8"/>
        <rFont val="Times New Roman"/>
        <family val="1"/>
      </rPr>
      <t>1</t>
    </r>
    <r>
      <rPr>
        <sz val="10"/>
        <color indexed="8"/>
        <rFont val="宋体"/>
        <charset val="134"/>
      </rPr>
      <t>）科研支出</t>
    </r>
    <phoneticPr fontId="1" type="noConversion"/>
  </si>
  <si>
    <r>
      <rPr>
        <sz val="10"/>
        <color indexed="8"/>
        <rFont val="宋体"/>
        <charset val="134"/>
      </rPr>
      <t>①技术支出</t>
    </r>
    <phoneticPr fontId="1" type="noConversion"/>
  </si>
  <si>
    <r>
      <rPr>
        <sz val="10"/>
        <color indexed="8"/>
        <rFont val="宋体"/>
        <charset val="134"/>
      </rPr>
      <t>②学术活动支出</t>
    </r>
    <phoneticPr fontId="1" type="noConversion"/>
  </si>
  <si>
    <r>
      <rPr>
        <sz val="10"/>
        <color indexed="8"/>
        <rFont val="宋体"/>
        <charset val="134"/>
      </rPr>
      <t>③科普活动支出</t>
    </r>
    <phoneticPr fontId="1" type="noConversion"/>
  </si>
  <si>
    <r>
      <rPr>
        <sz val="10"/>
        <color indexed="8"/>
        <rFont val="宋体"/>
        <charset val="134"/>
      </rPr>
      <t>④试制产品支出</t>
    </r>
    <phoneticPr fontId="1" type="noConversion"/>
  </si>
  <si>
    <r>
      <rPr>
        <sz val="10"/>
        <color indexed="8"/>
        <rFont val="宋体"/>
        <charset val="134"/>
      </rPr>
      <t>⑤教学活动支出</t>
    </r>
    <phoneticPr fontId="1" type="noConversion"/>
  </si>
  <si>
    <r>
      <rPr>
        <sz val="10"/>
        <color indexed="8"/>
        <rFont val="宋体"/>
        <charset val="134"/>
      </rPr>
      <t>（</t>
    </r>
    <r>
      <rPr>
        <sz val="10"/>
        <color indexed="8"/>
        <rFont val="Times New Roman"/>
        <family val="1"/>
      </rPr>
      <t>3</t>
    </r>
    <r>
      <rPr>
        <sz val="10"/>
        <color indexed="8"/>
        <rFont val="宋体"/>
        <charset val="134"/>
      </rPr>
      <t>）行政管理支出</t>
    </r>
    <phoneticPr fontId="1" type="noConversion"/>
  </si>
  <si>
    <r>
      <rPr>
        <sz val="10"/>
        <color indexed="8"/>
        <rFont val="宋体"/>
        <charset val="134"/>
      </rPr>
      <t>（</t>
    </r>
    <r>
      <rPr>
        <sz val="10"/>
        <color indexed="8"/>
        <rFont val="Times New Roman"/>
        <family val="1"/>
      </rPr>
      <t>4</t>
    </r>
    <r>
      <rPr>
        <sz val="10"/>
        <color indexed="8"/>
        <rFont val="宋体"/>
        <charset val="134"/>
      </rPr>
      <t>）后勤保障支出</t>
    </r>
    <phoneticPr fontId="1" type="noConversion"/>
  </si>
  <si>
    <r>
      <rPr>
        <sz val="10"/>
        <color indexed="8"/>
        <rFont val="宋体"/>
        <charset val="134"/>
      </rPr>
      <t>（</t>
    </r>
    <r>
      <rPr>
        <sz val="10"/>
        <color indexed="8"/>
        <rFont val="Times New Roman"/>
        <family val="1"/>
      </rPr>
      <t>5</t>
    </r>
    <r>
      <rPr>
        <sz val="10"/>
        <color indexed="8"/>
        <rFont val="宋体"/>
        <charset val="134"/>
      </rPr>
      <t>）离退休支出</t>
    </r>
    <phoneticPr fontId="1" type="noConversion"/>
  </si>
  <si>
    <r>
      <t>2.</t>
    </r>
    <r>
      <rPr>
        <sz val="10"/>
        <color indexed="8"/>
        <rFont val="宋体"/>
        <charset val="134"/>
      </rPr>
      <t>上缴上级支出</t>
    </r>
    <phoneticPr fontId="1" type="noConversion"/>
  </si>
  <si>
    <r>
      <t>3.</t>
    </r>
    <r>
      <rPr>
        <sz val="10"/>
        <color indexed="8"/>
        <rFont val="宋体"/>
        <charset val="134"/>
      </rPr>
      <t>对附属单位补助支出</t>
    </r>
    <phoneticPr fontId="1" type="noConversion"/>
  </si>
  <si>
    <r>
      <t>4.</t>
    </r>
    <r>
      <rPr>
        <sz val="10"/>
        <color indexed="8"/>
        <rFont val="宋体"/>
        <charset val="134"/>
      </rPr>
      <t>经营支出</t>
    </r>
    <phoneticPr fontId="1" type="noConversion"/>
  </si>
  <si>
    <r>
      <t>5.</t>
    </r>
    <r>
      <rPr>
        <sz val="10"/>
        <color indexed="8"/>
        <rFont val="宋体"/>
        <charset val="134"/>
      </rPr>
      <t>其他支出</t>
    </r>
    <phoneticPr fontId="1" type="noConversion"/>
  </si>
  <si>
    <r>
      <rPr>
        <b/>
        <sz val="10"/>
        <color indexed="8"/>
        <rFont val="宋体"/>
        <charset val="134"/>
      </rPr>
      <t>三、本期结转结余</t>
    </r>
    <phoneticPr fontId="1" type="noConversion"/>
  </si>
  <si>
    <r>
      <t>1.</t>
    </r>
    <r>
      <rPr>
        <sz val="10"/>
        <color indexed="8"/>
        <rFont val="宋体"/>
        <charset val="134"/>
      </rPr>
      <t>财政补助结转结余</t>
    </r>
    <phoneticPr fontId="1" type="noConversion"/>
  </si>
  <si>
    <r>
      <t>2.</t>
    </r>
    <r>
      <rPr>
        <sz val="10"/>
        <color indexed="8"/>
        <rFont val="宋体"/>
        <charset val="134"/>
      </rPr>
      <t>事业结转结余</t>
    </r>
    <phoneticPr fontId="1" type="noConversion"/>
  </si>
  <si>
    <r>
      <t>3.</t>
    </r>
    <r>
      <rPr>
        <sz val="10"/>
        <color indexed="8"/>
        <rFont val="宋体"/>
        <charset val="134"/>
      </rPr>
      <t>经营结余</t>
    </r>
    <phoneticPr fontId="1" type="noConversion"/>
  </si>
  <si>
    <r>
      <rPr>
        <b/>
        <sz val="10"/>
        <color indexed="8"/>
        <rFont val="宋体"/>
        <charset val="134"/>
      </rPr>
      <t>四、弥补以前年度经营亏损后的经营结余</t>
    </r>
    <phoneticPr fontId="1" type="noConversion"/>
  </si>
  <si>
    <r>
      <rPr>
        <b/>
        <sz val="10"/>
        <color indexed="8"/>
        <rFont val="宋体"/>
        <charset val="134"/>
      </rPr>
      <t>五、本年非财政补助结转结余</t>
    </r>
    <phoneticPr fontId="1" type="noConversion"/>
  </si>
  <si>
    <r>
      <rPr>
        <sz val="10"/>
        <color indexed="8"/>
        <rFont val="宋体"/>
        <charset val="134"/>
      </rPr>
      <t>减：非财政补助结转</t>
    </r>
    <phoneticPr fontId="1" type="noConversion"/>
  </si>
  <si>
    <r>
      <rPr>
        <b/>
        <sz val="10"/>
        <color indexed="8"/>
        <rFont val="宋体"/>
        <charset val="134"/>
      </rPr>
      <t>六、本年非财政补助结余</t>
    </r>
    <phoneticPr fontId="1" type="noConversion"/>
  </si>
  <si>
    <r>
      <rPr>
        <sz val="10"/>
        <color indexed="8"/>
        <rFont val="宋体"/>
        <charset val="134"/>
      </rPr>
      <t>减：应缴企业所得税</t>
    </r>
    <phoneticPr fontId="1" type="noConversion"/>
  </si>
  <si>
    <r>
      <rPr>
        <sz val="10"/>
        <color indexed="8"/>
        <rFont val="宋体"/>
        <charset val="134"/>
      </rPr>
      <t>减：提前专用基金</t>
    </r>
    <phoneticPr fontId="1" type="noConversion"/>
  </si>
  <si>
    <r>
      <rPr>
        <b/>
        <sz val="10"/>
        <color indexed="8"/>
        <rFont val="宋体"/>
        <charset val="134"/>
      </rPr>
      <t>七、转入事业基金</t>
    </r>
    <phoneticPr fontId="1" type="noConversion"/>
  </si>
  <si>
    <t>短期借款</t>
    <phoneticPr fontId="1" type="noConversion"/>
  </si>
  <si>
    <t>短期投资</t>
    <phoneticPr fontId="1" type="noConversion"/>
  </si>
  <si>
    <t>应缴税费</t>
    <phoneticPr fontId="1" type="noConversion"/>
  </si>
  <si>
    <t>应缴国库款</t>
    <phoneticPr fontId="1" type="noConversion"/>
  </si>
  <si>
    <t>应收票据</t>
    <phoneticPr fontId="1" type="noConversion"/>
  </si>
  <si>
    <t>应缴财政专户款</t>
    <phoneticPr fontId="1" type="noConversion"/>
  </si>
  <si>
    <t>应收账款</t>
    <phoneticPr fontId="1" type="noConversion"/>
  </si>
  <si>
    <t>预付账款</t>
    <phoneticPr fontId="1" type="noConversion"/>
  </si>
  <si>
    <t>应付票据</t>
    <phoneticPr fontId="1" type="noConversion"/>
  </si>
  <si>
    <t>存货</t>
    <phoneticPr fontId="1" type="noConversion"/>
  </si>
  <si>
    <t>预收账款</t>
    <phoneticPr fontId="1" type="noConversion"/>
  </si>
  <si>
    <t>其他流动资产</t>
    <phoneticPr fontId="1" type="noConversion"/>
  </si>
  <si>
    <t>其他应付款</t>
    <phoneticPr fontId="1" type="noConversion"/>
  </si>
  <si>
    <t>其他流动负债</t>
    <phoneticPr fontId="1" type="noConversion"/>
  </si>
  <si>
    <t>非流动资产：</t>
    <phoneticPr fontId="1" type="noConversion"/>
  </si>
  <si>
    <t xml:space="preserve">流动负债合计 </t>
    <phoneticPr fontId="1" type="noConversion"/>
  </si>
  <si>
    <t>长期投资</t>
    <phoneticPr fontId="1" type="noConversion"/>
  </si>
  <si>
    <t>非流动负债：</t>
    <phoneticPr fontId="1" type="noConversion"/>
  </si>
  <si>
    <t>固定资产</t>
    <phoneticPr fontId="1" type="noConversion"/>
  </si>
  <si>
    <t>长期借款</t>
    <phoneticPr fontId="1" type="noConversion"/>
  </si>
  <si>
    <t xml:space="preserve">  固定资产原价</t>
    <phoneticPr fontId="1" type="noConversion"/>
  </si>
  <si>
    <t>长期应付款</t>
    <phoneticPr fontId="1" type="noConversion"/>
  </si>
  <si>
    <t xml:space="preserve">  减：累计折旧</t>
    <phoneticPr fontId="1" type="noConversion"/>
  </si>
  <si>
    <t>代管款项</t>
    <phoneticPr fontId="1" type="noConversion"/>
  </si>
  <si>
    <t>在建工程</t>
    <phoneticPr fontId="1" type="noConversion"/>
  </si>
  <si>
    <t>非流动负债合计</t>
    <phoneticPr fontId="1" type="noConversion"/>
  </si>
  <si>
    <t>无形资产</t>
    <phoneticPr fontId="1" type="noConversion"/>
  </si>
  <si>
    <t>负债合计</t>
    <phoneticPr fontId="1" type="noConversion"/>
  </si>
  <si>
    <t xml:space="preserve">  无形资产原价</t>
    <phoneticPr fontId="1" type="noConversion"/>
  </si>
  <si>
    <t xml:space="preserve">  减：累计摊销</t>
    <phoneticPr fontId="1" type="noConversion"/>
  </si>
  <si>
    <t>待处置资产损益</t>
    <phoneticPr fontId="1" type="noConversion"/>
  </si>
  <si>
    <t>非流动资产基金</t>
    <phoneticPr fontId="1" type="noConversion"/>
  </si>
  <si>
    <t>非流动资产合计</t>
    <phoneticPr fontId="3" type="noConversion"/>
  </si>
  <si>
    <t>财政补助结转</t>
    <phoneticPr fontId="1" type="noConversion"/>
  </si>
  <si>
    <t>财政补助结余</t>
    <phoneticPr fontId="1" type="noConversion"/>
  </si>
  <si>
    <t>非财政补助结转</t>
    <phoneticPr fontId="1" type="noConversion"/>
  </si>
  <si>
    <t>非财政补助结余</t>
    <phoneticPr fontId="1" type="noConversion"/>
  </si>
  <si>
    <t xml:space="preserve">  1.事业结余</t>
    <phoneticPr fontId="1" type="noConversion"/>
  </si>
  <si>
    <t xml:space="preserve">  2.经营结余</t>
    <phoneticPr fontId="1" type="noConversion"/>
  </si>
  <si>
    <t>一、本期收入</t>
    <phoneticPr fontId="3" type="noConversion"/>
  </si>
  <si>
    <t>（一）财政补助收入</t>
    <phoneticPr fontId="1" type="noConversion"/>
  </si>
  <si>
    <t>1.教育补助收入</t>
    <phoneticPr fontId="1" type="noConversion"/>
  </si>
  <si>
    <t>2.科研补助收入</t>
    <phoneticPr fontId="1" type="noConversion"/>
  </si>
  <si>
    <t>3.其他补助收入</t>
    <phoneticPr fontId="1" type="noConversion"/>
  </si>
  <si>
    <t>（二）事业收入</t>
    <phoneticPr fontId="1" type="noConversion"/>
  </si>
  <si>
    <t>1.教育事业收入</t>
    <phoneticPr fontId="1" type="noConversion"/>
  </si>
  <si>
    <t>2.科研事业收入</t>
    <phoneticPr fontId="1" type="noConversion"/>
  </si>
  <si>
    <t>其中：非同级财政拨款</t>
    <phoneticPr fontId="1" type="noConversion"/>
  </si>
  <si>
    <t>（三）上级补助收入</t>
    <phoneticPr fontId="1" type="noConversion"/>
  </si>
  <si>
    <t>（四)附属单位上缴收入</t>
    <phoneticPr fontId="1" type="noConversion"/>
  </si>
  <si>
    <t>（五）经营收入</t>
    <phoneticPr fontId="1" type="noConversion"/>
  </si>
  <si>
    <t>（六）其他收入</t>
    <phoneticPr fontId="1" type="noConversion"/>
  </si>
  <si>
    <t xml:space="preserve">      捐赠收入</t>
    <phoneticPr fontId="1" type="noConversion"/>
  </si>
  <si>
    <t xml:space="preserve">      后勤保障单位净收入</t>
    <phoneticPr fontId="1" type="noConversion"/>
  </si>
  <si>
    <t>二、本期支出</t>
    <phoneticPr fontId="1" type="noConversion"/>
  </si>
  <si>
    <t>（一）财政补助支出——事业支出</t>
    <phoneticPr fontId="1" type="noConversion"/>
  </si>
  <si>
    <t>1.教育事业支出</t>
    <phoneticPr fontId="1" type="noConversion"/>
  </si>
  <si>
    <t>2.科研事业支出</t>
    <phoneticPr fontId="1" type="noConversion"/>
  </si>
  <si>
    <t>3.行政管理支出</t>
    <phoneticPr fontId="1" type="noConversion"/>
  </si>
  <si>
    <t>4.后勤保障支出</t>
    <phoneticPr fontId="1" type="noConversion"/>
  </si>
  <si>
    <t>5.离退休支出</t>
    <phoneticPr fontId="1" type="noConversion"/>
  </si>
  <si>
    <t>（二）非财政补助支出</t>
    <phoneticPr fontId="1" type="noConversion"/>
  </si>
  <si>
    <t>1.事业支出</t>
    <phoneticPr fontId="1" type="noConversion"/>
  </si>
  <si>
    <t>（1）教育事业支出</t>
    <phoneticPr fontId="1" type="noConversion"/>
  </si>
  <si>
    <t>（2）科研事业支出</t>
    <phoneticPr fontId="1" type="noConversion"/>
  </si>
  <si>
    <t>（3）行政管理支出</t>
    <phoneticPr fontId="1" type="noConversion"/>
  </si>
  <si>
    <t>（4）后勤保障支出</t>
    <phoneticPr fontId="1" type="noConversion"/>
  </si>
  <si>
    <t>（5）离退休支出</t>
    <phoneticPr fontId="1" type="noConversion"/>
  </si>
  <si>
    <t>2.上缴上级支出</t>
    <phoneticPr fontId="1" type="noConversion"/>
  </si>
  <si>
    <t>3.对附属单位补助支出</t>
    <phoneticPr fontId="1" type="noConversion"/>
  </si>
  <si>
    <t>4.经营支出</t>
    <phoneticPr fontId="1" type="noConversion"/>
  </si>
  <si>
    <t>5.其他支出</t>
    <phoneticPr fontId="1" type="noConversion"/>
  </si>
  <si>
    <t>三、本期结转结余</t>
    <phoneticPr fontId="1" type="noConversion"/>
  </si>
  <si>
    <t>1.财政补助结转结余</t>
    <phoneticPr fontId="1" type="noConversion"/>
  </si>
  <si>
    <t>2.事业结转结余</t>
    <phoneticPr fontId="1" type="noConversion"/>
  </si>
  <si>
    <t>3.经营结余</t>
    <phoneticPr fontId="1" type="noConversion"/>
  </si>
  <si>
    <t>四、弥补以前年度经营亏损后的经营结余</t>
    <phoneticPr fontId="1" type="noConversion"/>
  </si>
  <si>
    <t>五、本年非财政补助结转结余</t>
    <phoneticPr fontId="1" type="noConversion"/>
  </si>
  <si>
    <t>减：非财政补助结转</t>
    <phoneticPr fontId="1" type="noConversion"/>
  </si>
  <si>
    <t>六、本年非财政补助结余</t>
    <phoneticPr fontId="1" type="noConversion"/>
  </si>
  <si>
    <t>减：应缴企业所得税</t>
    <phoneticPr fontId="1" type="noConversion"/>
  </si>
  <si>
    <t>减：提取专用基金</t>
    <phoneticPr fontId="1" type="noConversion"/>
  </si>
  <si>
    <t>七、转入事业基金</t>
    <phoneticPr fontId="3" type="noConversion"/>
  </si>
  <si>
    <t>会中小学校01表</t>
    <phoneticPr fontId="1" type="noConversion"/>
  </si>
  <si>
    <t xml:space="preserve">  应缴税费</t>
    <phoneticPr fontId="1" type="noConversion"/>
  </si>
  <si>
    <t xml:space="preserve">  应缴国库款</t>
    <phoneticPr fontId="1" type="noConversion"/>
  </si>
  <si>
    <t xml:space="preserve">  应缴财政专户款</t>
    <phoneticPr fontId="1" type="noConversion"/>
  </si>
  <si>
    <t xml:space="preserve">   流动资产合计</t>
    <phoneticPr fontId="1" type="noConversion"/>
  </si>
  <si>
    <t xml:space="preserve">    流动负债合计</t>
    <phoneticPr fontId="1" type="noConversion"/>
  </si>
  <si>
    <t>长期借款</t>
  </si>
  <si>
    <t>长期应付款</t>
    <phoneticPr fontId="1" type="noConversion"/>
  </si>
  <si>
    <t xml:space="preserve">  代管款项</t>
    <phoneticPr fontId="1" type="noConversion"/>
  </si>
  <si>
    <t xml:space="preserve">  待处置资产损溢</t>
    <phoneticPr fontId="1" type="noConversion"/>
  </si>
  <si>
    <t xml:space="preserve">    非流动资产合计</t>
    <phoneticPr fontId="1" type="noConversion"/>
  </si>
  <si>
    <t xml:space="preserve">  非流动资产基金</t>
    <phoneticPr fontId="1" type="noConversion"/>
  </si>
  <si>
    <t xml:space="preserve">  财政补助结转</t>
    <phoneticPr fontId="1" type="noConversion"/>
  </si>
  <si>
    <t xml:space="preserve">  财政补助结余</t>
    <phoneticPr fontId="1" type="noConversion"/>
  </si>
  <si>
    <t xml:space="preserve">  非财政补助结转</t>
    <phoneticPr fontId="1" type="noConversion"/>
  </si>
  <si>
    <t xml:space="preserve">  非财政补助结余</t>
    <phoneticPr fontId="1" type="noConversion"/>
  </si>
  <si>
    <t xml:space="preserve">    1.事业结余</t>
    <phoneticPr fontId="1" type="noConversion"/>
  </si>
  <si>
    <t xml:space="preserve">    2.经营结余</t>
    <phoneticPr fontId="1" type="noConversion"/>
  </si>
  <si>
    <t xml:space="preserve"> 负债和资产总计</t>
    <phoneticPr fontId="1" type="noConversion"/>
  </si>
  <si>
    <t xml:space="preserve">                          年度  </t>
    <phoneticPr fontId="1" type="noConversion"/>
  </si>
  <si>
    <t>收入</t>
    <phoneticPr fontId="1" type="noConversion"/>
  </si>
  <si>
    <t>支出</t>
    <phoneticPr fontId="1" type="noConversion"/>
  </si>
  <si>
    <t>结转结余</t>
    <phoneticPr fontId="1" type="noConversion"/>
  </si>
  <si>
    <t>项目</t>
    <phoneticPr fontId="1" type="noConversion"/>
  </si>
  <si>
    <t>本年数</t>
    <phoneticPr fontId="1" type="noConversion"/>
  </si>
  <si>
    <t>上年数</t>
    <phoneticPr fontId="1" type="noConversion"/>
  </si>
  <si>
    <t>一、财政补助收入</t>
    <phoneticPr fontId="1" type="noConversion"/>
  </si>
  <si>
    <t>一、事业支出
（财政补助支出）</t>
    <phoneticPr fontId="1" type="noConversion"/>
  </si>
  <si>
    <t>本年财政补助结转结余</t>
    <phoneticPr fontId="1" type="noConversion"/>
  </si>
  <si>
    <t xml:space="preserve"> （一）公共财政预算拨款</t>
    <phoneticPr fontId="1" type="noConversion"/>
  </si>
  <si>
    <t xml:space="preserve"> （一）本年财政补助结余</t>
    <phoneticPr fontId="1" type="noConversion"/>
  </si>
  <si>
    <t xml:space="preserve"> （二）政府性基金预算拨款</t>
    <phoneticPr fontId="1" type="noConversion"/>
  </si>
  <si>
    <t xml:space="preserve"> （二）本年财政补助结转</t>
    <phoneticPr fontId="1" type="noConversion"/>
  </si>
  <si>
    <t>二、事业收入</t>
    <phoneticPr fontId="1" type="noConversion"/>
  </si>
  <si>
    <t>二、事业支出</t>
    <phoneticPr fontId="1" type="noConversion"/>
  </si>
  <si>
    <t>三、上级补助收入</t>
    <phoneticPr fontId="1" type="noConversion"/>
  </si>
  <si>
    <t>（非财政补助支出）</t>
  </si>
  <si>
    <t>本年事业结转结余</t>
    <phoneticPr fontId="1" type="noConversion"/>
  </si>
  <si>
    <t>四、附属单位上缴收入</t>
    <phoneticPr fontId="1" type="noConversion"/>
  </si>
  <si>
    <t>三、上缴上级支出</t>
    <phoneticPr fontId="1" type="noConversion"/>
  </si>
  <si>
    <t xml:space="preserve"> （一）本年事业结转</t>
    <phoneticPr fontId="1" type="noConversion"/>
  </si>
  <si>
    <t>五、其他收入</t>
    <phoneticPr fontId="1" type="noConversion"/>
  </si>
  <si>
    <t>四、对附属单位补助支出</t>
    <phoneticPr fontId="1" type="noConversion"/>
  </si>
  <si>
    <t xml:space="preserve"> （二）本年事业结余</t>
    <phoneticPr fontId="1" type="noConversion"/>
  </si>
  <si>
    <t xml:space="preserve">    其中：食堂净收入</t>
    <phoneticPr fontId="1" type="noConversion"/>
  </si>
  <si>
    <t>五、其他支出</t>
    <phoneticPr fontId="1" type="noConversion"/>
  </si>
  <si>
    <t>小计</t>
    <phoneticPr fontId="1" type="noConversion"/>
  </si>
  <si>
    <t>六、经营收入</t>
    <phoneticPr fontId="1" type="noConversion"/>
  </si>
  <si>
    <t>六、经营支出</t>
    <phoneticPr fontId="1" type="noConversion"/>
  </si>
  <si>
    <t>本年经营结余</t>
    <phoneticPr fontId="1" type="noConversion"/>
  </si>
  <si>
    <t>以前年度经营亏损</t>
    <phoneticPr fontId="1" type="noConversion"/>
  </si>
  <si>
    <t>弥补以前年度经营亏损后的经营结余</t>
    <phoneticPr fontId="1" type="noConversion"/>
  </si>
  <si>
    <t>收入总计</t>
    <phoneticPr fontId="1" type="noConversion"/>
  </si>
  <si>
    <t>支出总计</t>
    <phoneticPr fontId="1" type="noConversion"/>
  </si>
  <si>
    <t>本年结转结余</t>
    <phoneticPr fontId="1" type="noConversion"/>
  </si>
  <si>
    <t>本年非财政补助结余</t>
    <phoneticPr fontId="1" type="noConversion"/>
  </si>
  <si>
    <t>减：应缴企业所得税</t>
    <phoneticPr fontId="1" type="noConversion"/>
  </si>
  <si>
    <t>减：提取专用基金</t>
    <phoneticPr fontId="1" type="noConversion"/>
  </si>
  <si>
    <t>本年转入事业基金</t>
    <phoneticPr fontId="1" type="noConversion"/>
  </si>
  <si>
    <t>会彩01表</t>
    <phoneticPr fontId="4" type="noConversion"/>
  </si>
  <si>
    <t>编制单位</t>
    <phoneticPr fontId="4" type="noConversion"/>
  </si>
  <si>
    <t>_____年____月____日</t>
    <phoneticPr fontId="4" type="noConversion"/>
  </si>
  <si>
    <t>单位：元</t>
    <phoneticPr fontId="4" type="noConversion"/>
  </si>
  <si>
    <t>资 产</t>
    <phoneticPr fontId="4" type="noConversion"/>
  </si>
  <si>
    <t>期末余额</t>
    <phoneticPr fontId="4" type="noConversion"/>
  </si>
  <si>
    <t>年初余额</t>
    <phoneticPr fontId="4" type="noConversion"/>
  </si>
  <si>
    <t>负债和净资产</t>
    <phoneticPr fontId="4" type="noConversion"/>
  </si>
  <si>
    <t>流动资产：</t>
    <phoneticPr fontId="4" type="noConversion"/>
  </si>
  <si>
    <t>流动负债：</t>
    <phoneticPr fontId="4" type="noConversion"/>
  </si>
  <si>
    <t xml:space="preserve">  货币资金</t>
    <phoneticPr fontId="4" type="noConversion"/>
  </si>
  <si>
    <t xml:space="preserve">  短期借款</t>
    <phoneticPr fontId="4" type="noConversion"/>
  </si>
  <si>
    <t xml:space="preserve">  短期投资</t>
    <phoneticPr fontId="4" type="noConversion"/>
  </si>
  <si>
    <t xml:space="preserve">  应缴税费</t>
    <phoneticPr fontId="4" type="noConversion"/>
  </si>
  <si>
    <t xml:space="preserve">  应收票据</t>
    <phoneticPr fontId="4" type="noConversion"/>
  </si>
  <si>
    <t xml:space="preserve">  应缴国库款</t>
    <phoneticPr fontId="4" type="noConversion"/>
  </si>
  <si>
    <t xml:space="preserve">  应收账款</t>
    <phoneticPr fontId="4" type="noConversion"/>
  </si>
  <si>
    <t xml:space="preserve">  应缴财政专户款</t>
    <phoneticPr fontId="4" type="noConversion"/>
  </si>
  <si>
    <t xml:space="preserve">  预付账款</t>
    <phoneticPr fontId="4" type="noConversion"/>
  </si>
  <si>
    <t xml:space="preserve">  应付职工薪酬</t>
    <phoneticPr fontId="4" type="noConversion"/>
  </si>
  <si>
    <t xml:space="preserve">  其他应收款</t>
    <phoneticPr fontId="4" type="noConversion"/>
  </si>
  <si>
    <t xml:space="preserve">  应付票据</t>
    <phoneticPr fontId="4" type="noConversion"/>
  </si>
  <si>
    <t xml:space="preserve">  库存材料</t>
    <phoneticPr fontId="4" type="noConversion"/>
  </si>
  <si>
    <t xml:space="preserve">  应付账款</t>
    <phoneticPr fontId="4" type="noConversion"/>
  </si>
  <si>
    <t xml:space="preserve">  库存彩票</t>
    <phoneticPr fontId="4" type="noConversion"/>
  </si>
  <si>
    <t xml:space="preserve">  预收账款</t>
    <phoneticPr fontId="4" type="noConversion"/>
  </si>
  <si>
    <t xml:space="preserve">  其他流动资产</t>
    <phoneticPr fontId="4" type="noConversion"/>
  </si>
  <si>
    <t xml:space="preserve">  其他应付款</t>
    <phoneticPr fontId="4" type="noConversion"/>
  </si>
  <si>
    <t xml:space="preserve">  流动资产合计</t>
    <phoneticPr fontId="4" type="noConversion"/>
  </si>
  <si>
    <t xml:space="preserve">  应付返奖奖金</t>
    <phoneticPr fontId="4" type="noConversion"/>
  </si>
  <si>
    <t>非流动资产：</t>
    <phoneticPr fontId="4" type="noConversion"/>
  </si>
  <si>
    <t xml:space="preserve">  应付代销费</t>
    <phoneticPr fontId="4" type="noConversion"/>
  </si>
  <si>
    <t xml:space="preserve">  长期投资</t>
    <phoneticPr fontId="4" type="noConversion"/>
  </si>
  <si>
    <t xml:space="preserve">  其他流动负债</t>
    <phoneticPr fontId="4" type="noConversion"/>
  </si>
  <si>
    <t xml:space="preserve">  固定资产</t>
    <phoneticPr fontId="4" type="noConversion"/>
  </si>
  <si>
    <t xml:space="preserve">    流动负债合计</t>
    <phoneticPr fontId="4" type="noConversion"/>
  </si>
  <si>
    <t xml:space="preserve">    固定资产原价</t>
    <phoneticPr fontId="4" type="noConversion"/>
  </si>
  <si>
    <t>非流动负债：</t>
    <phoneticPr fontId="4" type="noConversion"/>
  </si>
  <si>
    <t xml:space="preserve">    减：累计折旧</t>
    <phoneticPr fontId="4" type="noConversion"/>
  </si>
  <si>
    <t xml:space="preserve">  长期借款</t>
    <phoneticPr fontId="4" type="noConversion"/>
  </si>
  <si>
    <t xml:space="preserve">  在建工程</t>
    <phoneticPr fontId="4" type="noConversion"/>
  </si>
  <si>
    <t xml:space="preserve">  长期应付款</t>
    <phoneticPr fontId="4" type="noConversion"/>
  </si>
  <si>
    <t xml:space="preserve">  无形资产</t>
    <phoneticPr fontId="4" type="noConversion"/>
  </si>
  <si>
    <t xml:space="preserve">   非流动负债合计</t>
    <phoneticPr fontId="4" type="noConversion"/>
  </si>
  <si>
    <t xml:space="preserve">    无形资产原价</t>
    <phoneticPr fontId="4" type="noConversion"/>
  </si>
  <si>
    <t>负债合计</t>
    <phoneticPr fontId="4" type="noConversion"/>
  </si>
  <si>
    <t xml:space="preserve">    减：累计摊销</t>
    <phoneticPr fontId="4" type="noConversion"/>
  </si>
  <si>
    <t>净资产：</t>
    <phoneticPr fontId="4" type="noConversion"/>
  </si>
  <si>
    <t xml:space="preserve">  待处置资产损益</t>
    <phoneticPr fontId="4" type="noConversion"/>
  </si>
  <si>
    <t xml:space="preserve">  事业基金</t>
    <phoneticPr fontId="4" type="noConversion"/>
  </si>
  <si>
    <t xml:space="preserve"> 非流动资产合计</t>
    <phoneticPr fontId="4" type="noConversion"/>
  </si>
  <si>
    <t xml:space="preserve">  库存彩票基金</t>
    <phoneticPr fontId="4" type="noConversion"/>
  </si>
  <si>
    <t xml:space="preserve">  非流动资产基金</t>
    <phoneticPr fontId="4" type="noConversion"/>
  </si>
  <si>
    <t xml:space="preserve">  专用基金</t>
    <phoneticPr fontId="4" type="noConversion"/>
  </si>
  <si>
    <t xml:space="preserve">  财政专户核拨资金结转</t>
    <phoneticPr fontId="4" type="noConversion"/>
  </si>
  <si>
    <t xml:space="preserve">  财政专户核拨资金结余</t>
    <phoneticPr fontId="4" type="noConversion"/>
  </si>
  <si>
    <t xml:space="preserve">  非财政专户核拨资金结转</t>
    <phoneticPr fontId="4" type="noConversion"/>
  </si>
  <si>
    <t xml:space="preserve">  非财政专户核拨资金结余</t>
    <phoneticPr fontId="4" type="noConversion"/>
  </si>
  <si>
    <t xml:space="preserve">    1.待分配事业结余</t>
    <phoneticPr fontId="4" type="noConversion"/>
  </si>
  <si>
    <t xml:space="preserve">    2.经营结余</t>
    <phoneticPr fontId="4" type="noConversion"/>
  </si>
  <si>
    <t xml:space="preserve">     净资产合计</t>
    <phoneticPr fontId="4" type="noConversion"/>
  </si>
  <si>
    <t>资产总计</t>
    <phoneticPr fontId="4" type="noConversion"/>
  </si>
  <si>
    <t xml:space="preserve">  负债和净资产总计</t>
    <phoneticPr fontId="4" type="noConversion"/>
  </si>
  <si>
    <t>会彩02表</t>
    <phoneticPr fontId="4" type="noConversion"/>
  </si>
  <si>
    <t>编制单位：</t>
    <phoneticPr fontId="4" type="noConversion"/>
  </si>
  <si>
    <t>_____年</t>
    <phoneticPr fontId="4" type="noConversion"/>
  </si>
  <si>
    <t>项目</t>
    <phoneticPr fontId="4" type="noConversion"/>
  </si>
  <si>
    <t>本年累计数</t>
    <phoneticPr fontId="4" type="noConversion"/>
  </si>
  <si>
    <t>上年累计数</t>
    <phoneticPr fontId="4" type="noConversion"/>
  </si>
  <si>
    <t>一、本期收入</t>
    <phoneticPr fontId="4" type="noConversion"/>
  </si>
  <si>
    <t xml:space="preserve">  （一）事业收入</t>
    <phoneticPr fontId="4" type="noConversion"/>
  </si>
  <si>
    <t xml:space="preserve">  （二）上级补助收入</t>
    <phoneticPr fontId="4" type="noConversion"/>
  </si>
  <si>
    <t xml:space="preserve">  （三）附属单位上缴收入</t>
    <phoneticPr fontId="4" type="noConversion"/>
  </si>
  <si>
    <t xml:space="preserve">  （四）经营收入</t>
    <phoneticPr fontId="4" type="noConversion"/>
  </si>
  <si>
    <t xml:space="preserve">  （五）其他收入</t>
    <phoneticPr fontId="4" type="noConversion"/>
  </si>
  <si>
    <t>二、本期支出</t>
    <phoneticPr fontId="4" type="noConversion"/>
  </si>
  <si>
    <t xml:space="preserve">  （一）事业支出</t>
    <phoneticPr fontId="4" type="noConversion"/>
  </si>
  <si>
    <t xml:space="preserve">  （二）对附属单位补助支出</t>
    <phoneticPr fontId="4" type="noConversion"/>
  </si>
  <si>
    <t xml:space="preserve">  （三）经营支出</t>
    <phoneticPr fontId="4" type="noConversion"/>
  </si>
  <si>
    <t xml:space="preserve">  （四）其他支出</t>
    <phoneticPr fontId="4" type="noConversion"/>
  </si>
  <si>
    <t>三、本期结转结余</t>
    <phoneticPr fontId="4" type="noConversion"/>
  </si>
  <si>
    <t xml:space="preserve">  （一）财政专户核拨资金结转结余</t>
    <phoneticPr fontId="4" type="noConversion"/>
  </si>
  <si>
    <t xml:space="preserve">  （二）非财政专户核拨资金结转结余</t>
    <phoneticPr fontId="4" type="noConversion"/>
  </si>
  <si>
    <t xml:space="preserve">       1.非财政专户核拨资金结转</t>
    <phoneticPr fontId="4" type="noConversion"/>
  </si>
  <si>
    <t xml:space="preserve">       2.待分配事业结余</t>
    <phoneticPr fontId="4" type="noConversion"/>
  </si>
  <si>
    <t xml:space="preserve">       3.经营结余</t>
    <phoneticPr fontId="4" type="noConversion"/>
  </si>
  <si>
    <t>四、弥补以前年度经营亏损后的经营结余</t>
    <phoneticPr fontId="4" type="noConversion"/>
  </si>
  <si>
    <t>五、本年非财政专户核拨资金结余</t>
    <phoneticPr fontId="4" type="noConversion"/>
  </si>
  <si>
    <t xml:space="preserve">    减：应缴企业所得税</t>
    <phoneticPr fontId="4" type="noConversion"/>
  </si>
  <si>
    <t xml:space="preserve">    减：提取专用基金</t>
    <phoneticPr fontId="4" type="noConversion"/>
  </si>
  <si>
    <t>六、转入事业基金</t>
    <phoneticPr fontId="4" type="noConversion"/>
  </si>
  <si>
    <t>附表一</t>
    <phoneticPr fontId="6" type="noConversion"/>
  </si>
  <si>
    <t>年初数</t>
    <phoneticPr fontId="3" type="noConversion"/>
  </si>
  <si>
    <t>年末数</t>
    <phoneticPr fontId="3" type="noConversion"/>
  </si>
  <si>
    <t xml:space="preserve">     货币资金</t>
    <phoneticPr fontId="3" type="noConversion"/>
  </si>
  <si>
    <t xml:space="preserve">     短期借款</t>
    <phoneticPr fontId="5" type="noConversion"/>
  </si>
  <si>
    <t xml:space="preserve">     短期投资</t>
    <phoneticPr fontId="3" type="noConversion"/>
  </si>
  <si>
    <t xml:space="preserve">     应付款项</t>
    <phoneticPr fontId="5" type="noConversion"/>
  </si>
  <si>
    <t xml:space="preserve">     应收款项</t>
    <phoneticPr fontId="3" type="noConversion"/>
  </si>
  <si>
    <t xml:space="preserve">     应付工资</t>
    <phoneticPr fontId="5" type="noConversion"/>
  </si>
  <si>
    <t xml:space="preserve">     预付账款</t>
    <phoneticPr fontId="3" type="noConversion"/>
  </si>
  <si>
    <t xml:space="preserve">     应交税金</t>
    <phoneticPr fontId="5" type="noConversion"/>
  </si>
  <si>
    <t xml:space="preserve">     存货</t>
    <phoneticPr fontId="3" type="noConversion"/>
  </si>
  <si>
    <t xml:space="preserve">     预收账款</t>
    <phoneticPr fontId="5" type="noConversion"/>
  </si>
  <si>
    <t xml:space="preserve">     待摊费用</t>
    <phoneticPr fontId="3" type="noConversion"/>
  </si>
  <si>
    <t xml:space="preserve">     预提费用</t>
    <phoneticPr fontId="5" type="noConversion"/>
  </si>
  <si>
    <t xml:space="preserve">     一年内到期的长期债权投资</t>
    <phoneticPr fontId="3" type="noConversion"/>
  </si>
  <si>
    <t xml:space="preserve">     预计负债</t>
    <phoneticPr fontId="5" type="noConversion"/>
  </si>
  <si>
    <t xml:space="preserve">     其他流动资产</t>
    <phoneticPr fontId="3" type="noConversion"/>
  </si>
  <si>
    <t xml:space="preserve">     一年内到期的长期负债</t>
    <phoneticPr fontId="5" type="noConversion"/>
  </si>
  <si>
    <t xml:space="preserve">     其他流动负债</t>
    <phoneticPr fontId="5" type="noConversion"/>
  </si>
  <si>
    <t>长期投资：</t>
    <phoneticPr fontId="3" type="noConversion"/>
  </si>
  <si>
    <t xml:space="preserve">     长期股权投资</t>
    <phoneticPr fontId="3" type="noConversion"/>
  </si>
  <si>
    <t xml:space="preserve">     长期债权投资</t>
    <phoneticPr fontId="3" type="noConversion"/>
  </si>
  <si>
    <t>长期负债：</t>
    <phoneticPr fontId="5" type="noConversion"/>
  </si>
  <si>
    <t xml:space="preserve">     长期借款</t>
    <phoneticPr fontId="5" type="noConversion"/>
  </si>
  <si>
    <t xml:space="preserve">     长期应付款</t>
    <phoneticPr fontId="5" type="noConversion"/>
  </si>
  <si>
    <t>固定资产：</t>
    <phoneticPr fontId="3" type="noConversion"/>
  </si>
  <si>
    <t xml:space="preserve">     其他长期负债</t>
    <phoneticPr fontId="5" type="noConversion"/>
  </si>
  <si>
    <t xml:space="preserve">     固定资产原价</t>
    <phoneticPr fontId="3" type="noConversion"/>
  </si>
  <si>
    <t xml:space="preserve">         减：累计折旧</t>
    <phoneticPr fontId="3" type="noConversion"/>
  </si>
  <si>
    <t xml:space="preserve">     固定资产净值</t>
    <phoneticPr fontId="3" type="noConversion"/>
  </si>
  <si>
    <t xml:space="preserve">     在建工程</t>
    <phoneticPr fontId="3" type="noConversion"/>
  </si>
  <si>
    <t xml:space="preserve">     文物文化资产</t>
    <phoneticPr fontId="3" type="noConversion"/>
  </si>
  <si>
    <t xml:space="preserve">     受托代理负债</t>
    <phoneticPr fontId="5" type="noConversion"/>
  </si>
  <si>
    <t xml:space="preserve">     固定资产清理</t>
    <phoneticPr fontId="3" type="noConversion"/>
  </si>
  <si>
    <t xml:space="preserve">    无形资产</t>
  </si>
  <si>
    <t xml:space="preserve">    长期待摊费用</t>
    <phoneticPr fontId="3" type="noConversion"/>
  </si>
  <si>
    <t xml:space="preserve">     非限定性净资产</t>
    <phoneticPr fontId="5" type="noConversion"/>
  </si>
  <si>
    <t xml:space="preserve">     限定性净资产</t>
    <phoneticPr fontId="5" type="noConversion"/>
  </si>
  <si>
    <t xml:space="preserve">     受托代理资产</t>
    <phoneticPr fontId="3" type="noConversion"/>
  </si>
  <si>
    <t>负债和净资产总计</t>
    <phoneticPr fontId="3" type="noConversion"/>
  </si>
  <si>
    <t>注：财务报表附注是本财务报表的组成部分</t>
    <phoneticPr fontId="5" type="noConversion"/>
  </si>
  <si>
    <t>法定代表人：</t>
    <phoneticPr fontId="6" type="noConversion"/>
  </si>
  <si>
    <t>主管会计工作的负责人：</t>
    <phoneticPr fontId="6" type="noConversion"/>
  </si>
  <si>
    <t>会计机构负责人：</t>
    <phoneticPr fontId="6" type="noConversion"/>
  </si>
  <si>
    <t xml:space="preserve">  业   务   活   动   表   </t>
    <phoneticPr fontId="11" type="noConversion"/>
  </si>
  <si>
    <t>本年数</t>
    <phoneticPr fontId="3" type="noConversion"/>
  </si>
  <si>
    <t>上年数</t>
    <phoneticPr fontId="3" type="noConversion"/>
  </si>
  <si>
    <t>非限定性</t>
    <phoneticPr fontId="3" type="noConversion"/>
  </si>
  <si>
    <t>限定性</t>
    <phoneticPr fontId="3" type="noConversion"/>
  </si>
  <si>
    <t>合计</t>
    <phoneticPr fontId="3" type="noConversion"/>
  </si>
  <si>
    <t>非限定性</t>
    <phoneticPr fontId="3" type="noConversion"/>
  </si>
  <si>
    <t>限定性</t>
    <phoneticPr fontId="3" type="noConversion"/>
  </si>
  <si>
    <t>一、收入</t>
    <phoneticPr fontId="3" type="noConversion"/>
  </si>
  <si>
    <t>其中：捐赠收入</t>
    <phoneticPr fontId="3" type="noConversion"/>
  </si>
  <si>
    <t xml:space="preserve">            会费收入</t>
    <phoneticPr fontId="3" type="noConversion"/>
  </si>
  <si>
    <t xml:space="preserve">            提供服务收入</t>
    <phoneticPr fontId="3" type="noConversion"/>
  </si>
  <si>
    <t xml:space="preserve">            商品销售收入</t>
    <phoneticPr fontId="3" type="noConversion"/>
  </si>
  <si>
    <t xml:space="preserve">            政府补助收入</t>
    <phoneticPr fontId="3" type="noConversion"/>
  </si>
  <si>
    <t xml:space="preserve">            投资收益</t>
    <phoneticPr fontId="3" type="noConversion"/>
  </si>
  <si>
    <t xml:space="preserve">            其他收入</t>
    <phoneticPr fontId="3" type="noConversion"/>
  </si>
  <si>
    <t>收入合计</t>
    <phoneticPr fontId="3" type="noConversion"/>
  </si>
  <si>
    <t>二、费用</t>
    <phoneticPr fontId="3" type="noConversion"/>
  </si>
  <si>
    <t>（一）业务活动成本</t>
    <phoneticPr fontId="3" type="noConversion"/>
  </si>
  <si>
    <t>其中：外籍教师工资</t>
    <phoneticPr fontId="3" type="noConversion"/>
  </si>
  <si>
    <t xml:space="preserve">            内地教师工资</t>
    <phoneticPr fontId="3" type="noConversion"/>
  </si>
  <si>
    <t xml:space="preserve">            兼职教师工资</t>
    <phoneticPr fontId="3" type="noConversion"/>
  </si>
  <si>
    <t xml:space="preserve">            汽车费用</t>
    <phoneticPr fontId="3" type="noConversion"/>
  </si>
  <si>
    <t xml:space="preserve">            福利费</t>
    <phoneticPr fontId="3" type="noConversion"/>
  </si>
  <si>
    <t xml:space="preserve">            宿舍租金</t>
    <phoneticPr fontId="3" type="noConversion"/>
  </si>
  <si>
    <t xml:space="preserve">            课外教育及其他</t>
    <phoneticPr fontId="3" type="noConversion"/>
  </si>
  <si>
    <t xml:space="preserve">            顾问费</t>
    <phoneticPr fontId="3" type="noConversion"/>
  </si>
  <si>
    <t>（二）管理费用</t>
    <phoneticPr fontId="3" type="noConversion"/>
  </si>
  <si>
    <t>（三）筹资费用</t>
    <phoneticPr fontId="3" type="noConversion"/>
  </si>
  <si>
    <t>（四）其他费用</t>
    <phoneticPr fontId="3" type="noConversion"/>
  </si>
  <si>
    <t>费用合计</t>
    <phoneticPr fontId="3" type="noConversion"/>
  </si>
  <si>
    <t>三、限定性净资产转为非限定性净资产</t>
    <phoneticPr fontId="3" type="noConversion"/>
  </si>
  <si>
    <t>四、净资产变动额（若为净资产减少额，以“-”号填列）</t>
    <phoneticPr fontId="3" type="noConversion"/>
  </si>
  <si>
    <t>注：财务报表附注是本财务报表的组成部分</t>
    <phoneticPr fontId="5" type="noConversion"/>
  </si>
  <si>
    <r>
      <t>法定代表人：</t>
    </r>
    <r>
      <rPr>
        <sz val="11"/>
        <rFont val="Times New Roman"/>
        <family val="1"/>
      </rPr>
      <t/>
    </r>
    <phoneticPr fontId="6" type="noConversion"/>
  </si>
  <si>
    <t>主管会计工作的负责人：</t>
  </si>
  <si>
    <t>会计机构负责人：</t>
  </si>
  <si>
    <t>附表三</t>
    <phoneticPr fontId="6" type="noConversion"/>
  </si>
  <si>
    <t>现  金  流  量  表</t>
    <phoneticPr fontId="23" type="noConversion"/>
  </si>
  <si>
    <t>货币单位：人民币元</t>
    <phoneticPr fontId="23" type="noConversion"/>
  </si>
  <si>
    <t>项目</t>
    <phoneticPr fontId="23" type="noConversion"/>
  </si>
  <si>
    <t>金额</t>
    <phoneticPr fontId="23" type="noConversion"/>
  </si>
  <si>
    <t>一、业务活动产生的现金流量：</t>
    <phoneticPr fontId="23" type="noConversion"/>
  </si>
  <si>
    <t xml:space="preserve">         接受捐赠收到的现金</t>
    <phoneticPr fontId="23" type="noConversion"/>
  </si>
  <si>
    <t xml:space="preserve">         收取会费收到的现金</t>
    <phoneticPr fontId="23" type="noConversion"/>
  </si>
  <si>
    <t xml:space="preserve">         提供服务收到的现金</t>
    <phoneticPr fontId="23" type="noConversion"/>
  </si>
  <si>
    <t xml:space="preserve">         销售商品收到的现金</t>
    <phoneticPr fontId="23" type="noConversion"/>
  </si>
  <si>
    <t xml:space="preserve">         政府补助收到的现金</t>
    <phoneticPr fontId="23" type="noConversion"/>
  </si>
  <si>
    <t xml:space="preserve">         收到的其他与业务活动有关的现金</t>
    <phoneticPr fontId="23" type="noConversion"/>
  </si>
  <si>
    <t>现金流入小计</t>
    <phoneticPr fontId="23" type="noConversion"/>
  </si>
  <si>
    <t xml:space="preserve">         提供捐赠或者资助支付的现金</t>
    <phoneticPr fontId="23" type="noConversion"/>
  </si>
  <si>
    <t xml:space="preserve">         支付给员工以及为员工支付的现金</t>
    <phoneticPr fontId="23" type="noConversion"/>
  </si>
  <si>
    <t xml:space="preserve">         购买商品、接受服务支付的现金</t>
    <phoneticPr fontId="23" type="noConversion"/>
  </si>
  <si>
    <t xml:space="preserve">         支付的其他与业务活动有关的现金</t>
    <phoneticPr fontId="23" type="noConversion"/>
  </si>
  <si>
    <t>现金流出小计</t>
    <phoneticPr fontId="23" type="noConversion"/>
  </si>
  <si>
    <t>业务活动产生的现金流量净额</t>
    <phoneticPr fontId="23" type="noConversion"/>
  </si>
  <si>
    <t>二、投资活动产生的现金流量：</t>
    <phoneticPr fontId="23" type="noConversion"/>
  </si>
  <si>
    <t xml:space="preserve">         收回投资所收到的现金 </t>
    <phoneticPr fontId="23" type="noConversion"/>
  </si>
  <si>
    <t xml:space="preserve">         取得投资收益所收到的现金</t>
    <phoneticPr fontId="23" type="noConversion"/>
  </si>
  <si>
    <t xml:space="preserve">         处置固定资产和无形资产所收回的现金</t>
    <phoneticPr fontId="23" type="noConversion"/>
  </si>
  <si>
    <t xml:space="preserve">         收到的其他与投资活动有关的现金</t>
    <phoneticPr fontId="23" type="noConversion"/>
  </si>
  <si>
    <t xml:space="preserve">         购建固定资产和无形资产所支付的现金</t>
    <phoneticPr fontId="23" type="noConversion"/>
  </si>
  <si>
    <t xml:space="preserve">         对外投资所支付的现金</t>
    <phoneticPr fontId="23" type="noConversion"/>
  </si>
  <si>
    <t xml:space="preserve">         支付的其他与投资活动有关的现金</t>
    <phoneticPr fontId="23" type="noConversion"/>
  </si>
  <si>
    <t>现金流出小计</t>
    <phoneticPr fontId="23" type="noConversion"/>
  </si>
  <si>
    <t>投资活动产生的现金流量净额</t>
    <phoneticPr fontId="23" type="noConversion"/>
  </si>
  <si>
    <t>三、筹资活动产生的现金流量：</t>
    <phoneticPr fontId="23" type="noConversion"/>
  </si>
  <si>
    <t xml:space="preserve">        借款所收到的现金</t>
    <phoneticPr fontId="23" type="noConversion"/>
  </si>
  <si>
    <t xml:space="preserve">        收到的其他与筹资活动有关的现金</t>
    <phoneticPr fontId="23" type="noConversion"/>
  </si>
  <si>
    <t xml:space="preserve">        偿还借款所支付的现金</t>
    <phoneticPr fontId="23" type="noConversion"/>
  </si>
  <si>
    <t xml:space="preserve">        偿付利息所支付的现金</t>
    <phoneticPr fontId="23" type="noConversion"/>
  </si>
  <si>
    <t xml:space="preserve">        支付的其他与筹资活动有关的现金</t>
    <phoneticPr fontId="23" type="noConversion"/>
  </si>
  <si>
    <t>筹资活动产生的现金流量净额</t>
    <phoneticPr fontId="23" type="noConversion"/>
  </si>
  <si>
    <t>四、汇率变动对现金的影响额</t>
    <phoneticPr fontId="23" type="noConversion"/>
  </si>
  <si>
    <t>五、现金及现金等价物净增加额</t>
    <phoneticPr fontId="23" type="noConversion"/>
  </si>
  <si>
    <t xml:space="preserve">法定代表人：         主管会计工作的负责人：           会计机构负责人：                             </t>
    <phoneticPr fontId="6" type="noConversion"/>
  </si>
  <si>
    <t>工会01表</t>
    <phoneticPr fontId="4" type="noConversion"/>
  </si>
  <si>
    <t>资产</t>
    <phoneticPr fontId="4" type="noConversion"/>
  </si>
  <si>
    <t>年初数</t>
    <phoneticPr fontId="4" type="noConversion"/>
  </si>
  <si>
    <t>期末数</t>
    <phoneticPr fontId="4" type="noConversion"/>
  </si>
  <si>
    <t>负债与净资产</t>
    <phoneticPr fontId="4" type="noConversion"/>
  </si>
  <si>
    <t>一、资产</t>
    <phoneticPr fontId="4" type="noConversion"/>
  </si>
  <si>
    <t>二、负债</t>
    <phoneticPr fontId="4" type="noConversion"/>
  </si>
  <si>
    <t>库存现金</t>
    <phoneticPr fontId="4" type="noConversion"/>
  </si>
  <si>
    <t>应付工资（离退休费）</t>
    <phoneticPr fontId="4" type="noConversion"/>
  </si>
  <si>
    <t>银行存款</t>
    <phoneticPr fontId="4" type="noConversion"/>
  </si>
  <si>
    <t>应付地方（部门）津贴补贴</t>
    <phoneticPr fontId="4" type="noConversion"/>
  </si>
  <si>
    <t>零余额账户用款额度</t>
    <phoneticPr fontId="4" type="noConversion"/>
  </si>
  <si>
    <t>财政应返还额度</t>
    <phoneticPr fontId="4" type="noConversion"/>
  </si>
  <si>
    <t>借入款</t>
    <phoneticPr fontId="4" type="noConversion"/>
  </si>
  <si>
    <t>借出款</t>
    <phoneticPr fontId="4" type="noConversion"/>
  </si>
  <si>
    <t>应付上级经费</t>
    <phoneticPr fontId="4" type="noConversion"/>
  </si>
  <si>
    <t>应收上级经费</t>
  </si>
  <si>
    <t>应付下级经费</t>
    <phoneticPr fontId="4" type="noConversion"/>
  </si>
  <si>
    <t>应收下级经费</t>
    <phoneticPr fontId="4" type="noConversion"/>
  </si>
  <si>
    <t>其他应付款</t>
    <phoneticPr fontId="4" type="noConversion"/>
  </si>
  <si>
    <t>其他应收款</t>
    <phoneticPr fontId="4" type="noConversion"/>
  </si>
  <si>
    <t>代管经费</t>
    <phoneticPr fontId="4" type="noConversion"/>
  </si>
  <si>
    <t>库存物品</t>
    <phoneticPr fontId="4" type="noConversion"/>
  </si>
  <si>
    <t>投资</t>
    <phoneticPr fontId="4" type="noConversion"/>
  </si>
  <si>
    <t>在建工程</t>
    <phoneticPr fontId="4" type="noConversion"/>
  </si>
  <si>
    <t>三、净资产类</t>
    <phoneticPr fontId="4" type="noConversion"/>
  </si>
  <si>
    <t>固定资产</t>
    <phoneticPr fontId="4" type="noConversion"/>
  </si>
  <si>
    <t>固定基金</t>
    <phoneticPr fontId="4" type="noConversion"/>
  </si>
  <si>
    <t>在建工程占用资金</t>
    <phoneticPr fontId="4" type="noConversion"/>
  </si>
  <si>
    <t>投资基金</t>
    <phoneticPr fontId="4" type="noConversion"/>
  </si>
  <si>
    <t>专用基金</t>
    <phoneticPr fontId="4" type="noConversion"/>
  </si>
  <si>
    <t>后备金</t>
    <phoneticPr fontId="4" type="noConversion"/>
  </si>
  <si>
    <t>结余</t>
    <phoneticPr fontId="4" type="noConversion"/>
  </si>
  <si>
    <t>净资产合计</t>
    <phoneticPr fontId="4" type="noConversion"/>
  </si>
  <si>
    <t>负债与净资产总计</t>
    <phoneticPr fontId="4" type="noConversion"/>
  </si>
  <si>
    <t>工会主席：</t>
    <phoneticPr fontId="4" type="noConversion"/>
  </si>
  <si>
    <t>财务负责人：</t>
    <phoneticPr fontId="4" type="noConversion"/>
  </si>
  <si>
    <t>复核：</t>
    <phoneticPr fontId="4" type="noConversion"/>
  </si>
  <si>
    <t>制表：</t>
    <phoneticPr fontId="4" type="noConversion"/>
  </si>
  <si>
    <t>工会02表</t>
    <phoneticPr fontId="4" type="noConversion"/>
  </si>
  <si>
    <t>_____年____月</t>
    <phoneticPr fontId="4" type="noConversion"/>
  </si>
  <si>
    <t>本年累计数</t>
  </si>
  <si>
    <t>一、收  入</t>
    <phoneticPr fontId="4" type="noConversion"/>
  </si>
  <si>
    <t>会费收入</t>
    <phoneticPr fontId="4" type="noConversion"/>
  </si>
  <si>
    <t>拨缴经费收入</t>
    <phoneticPr fontId="4" type="noConversion"/>
  </si>
  <si>
    <t>上级补助收入</t>
    <phoneticPr fontId="4" type="noConversion"/>
  </si>
  <si>
    <t xml:space="preserve">  回拨补助</t>
    <phoneticPr fontId="4" type="noConversion"/>
  </si>
  <si>
    <t xml:space="preserve">  专项补助</t>
    <phoneticPr fontId="4" type="noConversion"/>
  </si>
  <si>
    <t xml:space="preserve">  超收补助</t>
    <phoneticPr fontId="4" type="noConversion"/>
  </si>
  <si>
    <t xml:space="preserve">  帮扶补助</t>
    <phoneticPr fontId="4" type="noConversion"/>
  </si>
  <si>
    <t xml:space="preserve">  送温暖补助</t>
    <phoneticPr fontId="4" type="noConversion"/>
  </si>
  <si>
    <t xml:space="preserve">  救灾补助</t>
    <phoneticPr fontId="4" type="noConversion"/>
  </si>
  <si>
    <t xml:space="preserve">  其他补助</t>
    <phoneticPr fontId="4" type="noConversion"/>
  </si>
  <si>
    <t>政府补助收入</t>
    <phoneticPr fontId="4" type="noConversion"/>
  </si>
  <si>
    <t>行政补助收入</t>
    <phoneticPr fontId="4" type="noConversion"/>
  </si>
  <si>
    <t>事业收入</t>
    <phoneticPr fontId="4" type="noConversion"/>
  </si>
  <si>
    <t>投资收益</t>
    <phoneticPr fontId="4" type="noConversion"/>
  </si>
  <si>
    <t>其他收入</t>
    <phoneticPr fontId="4" type="noConversion"/>
  </si>
  <si>
    <t>本期收入合计</t>
    <phoneticPr fontId="4" type="noConversion"/>
  </si>
  <si>
    <t>二、支  出</t>
    <phoneticPr fontId="4" type="noConversion"/>
  </si>
  <si>
    <t>职工活动支出</t>
    <phoneticPr fontId="4" type="noConversion"/>
  </si>
  <si>
    <t xml:space="preserve">  职工教育费</t>
    <phoneticPr fontId="4" type="noConversion"/>
  </si>
  <si>
    <t xml:space="preserve">  文体活动费</t>
    <phoneticPr fontId="4" type="noConversion"/>
  </si>
  <si>
    <t xml:space="preserve">  宣传活动费</t>
    <phoneticPr fontId="4" type="noConversion"/>
  </si>
  <si>
    <t xml:space="preserve">  其他活动支出</t>
    <phoneticPr fontId="4" type="noConversion"/>
  </si>
  <si>
    <t>维权支出</t>
    <phoneticPr fontId="4" type="noConversion"/>
  </si>
  <si>
    <t xml:space="preserve">  劳动关系协调费</t>
    <phoneticPr fontId="4" type="noConversion"/>
  </si>
  <si>
    <t xml:space="preserve">  劳动保护费</t>
    <phoneticPr fontId="4" type="noConversion"/>
  </si>
  <si>
    <t xml:space="preserve">  法律援助费</t>
    <phoneticPr fontId="4" type="noConversion"/>
  </si>
  <si>
    <t xml:space="preserve">  困难职工帮扶费</t>
    <phoneticPr fontId="4" type="noConversion"/>
  </si>
  <si>
    <t xml:space="preserve">  送温暖费</t>
    <phoneticPr fontId="4" type="noConversion"/>
  </si>
  <si>
    <t xml:space="preserve">  其他维权支出</t>
    <phoneticPr fontId="4" type="noConversion"/>
  </si>
  <si>
    <t>业务支出</t>
    <phoneticPr fontId="4" type="noConversion"/>
  </si>
  <si>
    <t xml:space="preserve">  培训费</t>
    <phoneticPr fontId="4" type="noConversion"/>
  </si>
  <si>
    <t xml:space="preserve">  会议费</t>
    <phoneticPr fontId="4" type="noConversion"/>
  </si>
  <si>
    <t xml:space="preserve">  外事费</t>
    <phoneticPr fontId="4" type="noConversion"/>
  </si>
  <si>
    <t xml:space="preserve">  专项业务费</t>
    <phoneticPr fontId="4" type="noConversion"/>
  </si>
  <si>
    <t xml:space="preserve">  其他业务支出</t>
    <phoneticPr fontId="4" type="noConversion"/>
  </si>
  <si>
    <t>行政支出</t>
    <phoneticPr fontId="4" type="noConversion"/>
  </si>
  <si>
    <t xml:space="preserve">  工资福利支出</t>
    <phoneticPr fontId="4" type="noConversion"/>
  </si>
  <si>
    <t xml:space="preserve">  商品和服务支出</t>
    <phoneticPr fontId="4" type="noConversion"/>
  </si>
  <si>
    <t xml:space="preserve">  对个人和家庭的补助</t>
    <phoneticPr fontId="4" type="noConversion"/>
  </si>
  <si>
    <t xml:space="preserve">  其他行政支出</t>
    <phoneticPr fontId="4" type="noConversion"/>
  </si>
  <si>
    <t>资本性支出</t>
    <phoneticPr fontId="4" type="noConversion"/>
  </si>
  <si>
    <t xml:space="preserve">  房屋建筑物购建</t>
    <phoneticPr fontId="4" type="noConversion"/>
  </si>
  <si>
    <t xml:space="preserve">  办公设备购置</t>
    <phoneticPr fontId="4" type="noConversion"/>
  </si>
  <si>
    <t xml:space="preserve">  专用设备购置</t>
    <phoneticPr fontId="4" type="noConversion"/>
  </si>
  <si>
    <t xml:space="preserve">  交通工具购置</t>
    <phoneticPr fontId="4" type="noConversion"/>
  </si>
  <si>
    <t xml:space="preserve">  大型修缮</t>
    <phoneticPr fontId="4" type="noConversion"/>
  </si>
  <si>
    <t xml:space="preserve">  信息网络购建</t>
    <phoneticPr fontId="4" type="noConversion"/>
  </si>
  <si>
    <t xml:space="preserve">  其他资本性支出</t>
    <phoneticPr fontId="4" type="noConversion"/>
  </si>
  <si>
    <t>补助下级支出</t>
    <phoneticPr fontId="4" type="noConversion"/>
  </si>
  <si>
    <t xml:space="preserve">  事业支出</t>
    <phoneticPr fontId="4" type="noConversion"/>
  </si>
  <si>
    <t xml:space="preserve">  其他支出</t>
    <phoneticPr fontId="4" type="noConversion"/>
  </si>
  <si>
    <t>本期支出合计</t>
    <phoneticPr fontId="4" type="noConversion"/>
  </si>
  <si>
    <t>三、本期结余</t>
    <phoneticPr fontId="4" type="noConversion"/>
  </si>
  <si>
    <t xml:space="preserve">      风险基金</t>
    <phoneticPr fontId="1" type="noConversion"/>
  </si>
  <si>
    <t>年    月    日</t>
    <phoneticPr fontId="4" type="noConversion"/>
  </si>
  <si>
    <t>村会01表</t>
    <phoneticPr fontId="4" type="noConversion"/>
  </si>
  <si>
    <t>资    产</t>
  </si>
  <si>
    <t>年初数</t>
  </si>
  <si>
    <t>年末数</t>
  </si>
  <si>
    <t>负债及所有者权益</t>
  </si>
  <si>
    <t xml:space="preserve">  应付款项</t>
    <phoneticPr fontId="4" type="noConversion"/>
  </si>
  <si>
    <t xml:space="preserve">  应收款项</t>
    <phoneticPr fontId="4" type="noConversion"/>
  </si>
  <si>
    <t xml:space="preserve">  应付工资</t>
    <phoneticPr fontId="4" type="noConversion"/>
  </si>
  <si>
    <t xml:space="preserve">  存货</t>
    <phoneticPr fontId="4" type="noConversion"/>
  </si>
  <si>
    <t xml:space="preserve">  应付福利费</t>
    <phoneticPr fontId="4" type="noConversion"/>
  </si>
  <si>
    <t xml:space="preserve">  流动资产合计</t>
  </si>
  <si>
    <t>农业资产：</t>
  </si>
  <si>
    <t>长期负债：</t>
  </si>
  <si>
    <t xml:space="preserve">  牲畜（禽）资产</t>
    <phoneticPr fontId="4" type="noConversion"/>
  </si>
  <si>
    <t xml:space="preserve">  长期借款及应付款</t>
    <phoneticPr fontId="4" type="noConversion"/>
  </si>
  <si>
    <t xml:space="preserve">  林木资产</t>
    <phoneticPr fontId="4" type="noConversion"/>
  </si>
  <si>
    <t xml:space="preserve">  一事一议资金</t>
    <phoneticPr fontId="4" type="noConversion"/>
  </si>
  <si>
    <t xml:space="preserve">    农业资产合计</t>
    <phoneticPr fontId="4" type="noConversion"/>
  </si>
  <si>
    <t xml:space="preserve">    长期负债合计</t>
    <phoneticPr fontId="4" type="noConversion"/>
  </si>
  <si>
    <t>长期资产：</t>
  </si>
  <si>
    <t xml:space="preserve">    负债合计</t>
    <phoneticPr fontId="4" type="noConversion"/>
  </si>
  <si>
    <t>固定资产：</t>
  </si>
  <si>
    <t xml:space="preserve">  固定资产原价</t>
    <phoneticPr fontId="4" type="noConversion"/>
  </si>
  <si>
    <t xml:space="preserve">  减：累计折旧</t>
    <phoneticPr fontId="4" type="noConversion"/>
  </si>
  <si>
    <t>所有者权益：</t>
  </si>
  <si>
    <t xml:space="preserve">  固定资产净值</t>
    <phoneticPr fontId="4" type="noConversion"/>
  </si>
  <si>
    <t xml:space="preserve">  资本</t>
    <phoneticPr fontId="4" type="noConversion"/>
  </si>
  <si>
    <t xml:space="preserve">  固定资产清理</t>
    <phoneticPr fontId="4" type="noConversion"/>
  </si>
  <si>
    <t xml:space="preserve">  公积公益金</t>
    <phoneticPr fontId="4" type="noConversion"/>
  </si>
  <si>
    <t xml:space="preserve">  未分配收益</t>
    <phoneticPr fontId="4" type="noConversion"/>
  </si>
  <si>
    <t xml:space="preserve">    固定资产合计</t>
    <phoneticPr fontId="4" type="noConversion"/>
  </si>
  <si>
    <t xml:space="preserve">    所有者权益合计</t>
    <phoneticPr fontId="4" type="noConversion"/>
  </si>
  <si>
    <t>负债和所有者权益总计</t>
  </si>
  <si>
    <t>补充资料：</t>
  </si>
  <si>
    <t>项   目</t>
  </si>
  <si>
    <t>金   额</t>
  </si>
  <si>
    <t>无法收回、尚未批准核销的短期投资</t>
  </si>
  <si>
    <t>确实无法收回、尚未批准核销的应收款项</t>
  </si>
  <si>
    <t>盘亏、毁损和报废、尚未批准核销的存货</t>
  </si>
  <si>
    <t>死亡毁损、尚未批准核销的农业资产</t>
  </si>
  <si>
    <t>无法收回、尚未批准核销的长期投资</t>
  </si>
  <si>
    <t>盘亏和毁损、尚未批准核销的固定资产</t>
  </si>
  <si>
    <t>毁损和报废、尚未批准核销的在建工程</t>
  </si>
  <si>
    <t>村会02表</t>
  </si>
  <si>
    <t>编制单位：</t>
    <phoneticPr fontId="4" type="noConversion"/>
  </si>
  <si>
    <t xml:space="preserve"> 单位：元</t>
  </si>
  <si>
    <t>金额</t>
  </si>
  <si>
    <t>收益分配</t>
  </si>
  <si>
    <t>一、经营收入</t>
  </si>
  <si>
    <t>四、本年收益</t>
  </si>
  <si>
    <t>加：发包及上交收入</t>
  </si>
  <si>
    <t>加：年初未分配收益</t>
  </si>
  <si>
    <t xml:space="preserve">    投资收益</t>
    <phoneticPr fontId="4" type="noConversion"/>
  </si>
  <si>
    <t xml:space="preserve">    其他转入</t>
    <phoneticPr fontId="4" type="noConversion"/>
  </si>
  <si>
    <t>减：经营支出</t>
  </si>
  <si>
    <t>五、可分配收益</t>
  </si>
  <si>
    <t xml:space="preserve">    管理费用</t>
    <phoneticPr fontId="4" type="noConversion"/>
  </si>
  <si>
    <t>减: 1.提取公积公益金</t>
    <phoneticPr fontId="4" type="noConversion"/>
  </si>
  <si>
    <t>二、经营收益</t>
  </si>
  <si>
    <t xml:space="preserve">    2.提取应付福利费</t>
    <phoneticPr fontId="4" type="noConversion"/>
  </si>
  <si>
    <t>加：农业税附加返还收入</t>
  </si>
  <si>
    <t xml:space="preserve">    3.外来投资分利</t>
    <phoneticPr fontId="4" type="noConversion"/>
  </si>
  <si>
    <t xml:space="preserve">    补助收入</t>
    <phoneticPr fontId="4" type="noConversion"/>
  </si>
  <si>
    <t xml:space="preserve">    4.农户分配</t>
    <phoneticPr fontId="4" type="noConversion"/>
  </si>
  <si>
    <t xml:space="preserve">    其他收入</t>
    <phoneticPr fontId="4" type="noConversion"/>
  </si>
  <si>
    <t xml:space="preserve">    5.其他</t>
    <phoneticPr fontId="4" type="noConversion"/>
  </si>
  <si>
    <t>减：其他支出</t>
  </si>
  <si>
    <t>三、本年收益</t>
  </si>
  <si>
    <t>六、年末未分配收益</t>
  </si>
  <si>
    <t xml:space="preserve">____年度 </t>
    <phoneticPr fontId="4" type="noConversion"/>
  </si>
  <si>
    <t>年初数</t>
    <phoneticPr fontId="1" type="noConversion"/>
  </si>
  <si>
    <t>负债及所有者权益</t>
    <phoneticPr fontId="1" type="noConversion"/>
  </si>
  <si>
    <t>流动负债：</t>
    <phoneticPr fontId="1" type="noConversion"/>
  </si>
  <si>
    <t>应收款项</t>
    <phoneticPr fontId="1" type="noConversion"/>
  </si>
  <si>
    <t>应付款项</t>
    <phoneticPr fontId="1" type="noConversion"/>
  </si>
  <si>
    <t>应付工资</t>
    <phoneticPr fontId="1" type="noConversion"/>
  </si>
  <si>
    <t>应付盈余返还</t>
    <phoneticPr fontId="1" type="noConversion"/>
  </si>
  <si>
    <t>应付剩余盈余</t>
    <phoneticPr fontId="1" type="noConversion"/>
  </si>
  <si>
    <t>长期资产：</t>
    <phoneticPr fontId="1" type="noConversion"/>
  </si>
  <si>
    <t>流动负债合计</t>
    <phoneticPr fontId="1" type="noConversion"/>
  </si>
  <si>
    <t>对外投资</t>
    <phoneticPr fontId="1" type="noConversion"/>
  </si>
  <si>
    <t>农业资产：</t>
    <phoneticPr fontId="1" type="noConversion"/>
  </si>
  <si>
    <t>牲畜(禽)资产</t>
    <phoneticPr fontId="1" type="noConversion"/>
  </si>
  <si>
    <t>长期负债：</t>
    <phoneticPr fontId="1" type="noConversion"/>
  </si>
  <si>
    <t>林木资产</t>
    <phoneticPr fontId="1" type="noConversion"/>
  </si>
  <si>
    <t>长期借款</t>
    <phoneticPr fontId="1" type="noConversion"/>
  </si>
  <si>
    <t>农业资产合计</t>
    <phoneticPr fontId="1" type="noConversion"/>
  </si>
  <si>
    <t>专项应付款</t>
    <phoneticPr fontId="1" type="noConversion"/>
  </si>
  <si>
    <t>长期负债合计</t>
    <phoneticPr fontId="1" type="noConversion"/>
  </si>
  <si>
    <t>固定资产原值</t>
    <phoneticPr fontId="1" type="noConversion"/>
  </si>
  <si>
    <t>减：累计折旧</t>
    <phoneticPr fontId="1" type="noConversion"/>
  </si>
  <si>
    <t>固定资产净值</t>
    <phoneticPr fontId="1" type="noConversion"/>
  </si>
  <si>
    <t>所有者权益：</t>
    <phoneticPr fontId="1" type="noConversion"/>
  </si>
  <si>
    <t>固定资产清理</t>
    <phoneticPr fontId="1" type="noConversion"/>
  </si>
  <si>
    <t>股金</t>
    <phoneticPr fontId="1" type="noConversion"/>
  </si>
  <si>
    <t>在建工程</t>
    <phoneticPr fontId="1" type="noConversion"/>
  </si>
  <si>
    <t>专项基金</t>
    <phoneticPr fontId="1" type="noConversion"/>
  </si>
  <si>
    <t>固定资产合计</t>
    <phoneticPr fontId="1" type="noConversion"/>
  </si>
  <si>
    <t>资本公积</t>
    <phoneticPr fontId="1" type="noConversion"/>
  </si>
  <si>
    <t>其他资产：</t>
    <phoneticPr fontId="1" type="noConversion"/>
  </si>
  <si>
    <t>盈余公积</t>
    <phoneticPr fontId="1" type="noConversion"/>
  </si>
  <si>
    <t>未分配盈余</t>
    <phoneticPr fontId="1" type="noConversion"/>
  </si>
  <si>
    <t>长期资产合计</t>
    <phoneticPr fontId="1" type="noConversion"/>
  </si>
  <si>
    <t>所有者权益合计</t>
    <phoneticPr fontId="1" type="noConversion"/>
  </si>
  <si>
    <t>负债和所有者权益总计</t>
    <phoneticPr fontId="1" type="noConversion"/>
  </si>
  <si>
    <t>补充资料：</t>
    <phoneticPr fontId="1" type="noConversion"/>
  </si>
  <si>
    <t>无法收回、尚未批准核销的应收款项</t>
  </si>
  <si>
    <t>无法收回、尚未批准核销的对外投资</t>
  </si>
  <si>
    <t>盘亏、毁损和报废、尚未批准核销的固定资产</t>
  </si>
  <si>
    <t>注销和无效、尚未批准核销的无形资产</t>
  </si>
  <si>
    <t>年</t>
    <phoneticPr fontId="3" type="noConversion"/>
  </si>
  <si>
    <t>金额</t>
    <phoneticPr fontId="1" type="noConversion"/>
  </si>
  <si>
    <t>本年盈余</t>
    <phoneticPr fontId="3" type="noConversion"/>
  </si>
  <si>
    <t>盈余分配</t>
    <phoneticPr fontId="1" type="noConversion"/>
  </si>
  <si>
    <t>一、经营收入</t>
    <phoneticPr fontId="3" type="noConversion"/>
  </si>
  <si>
    <t>四、本年盈余</t>
    <phoneticPr fontId="3" type="noConversion"/>
  </si>
  <si>
    <t>加:投资收益</t>
    <phoneticPr fontId="1" type="noConversion"/>
  </si>
  <si>
    <t>加：年初未分配盈余</t>
    <phoneticPr fontId="1" type="noConversion"/>
  </si>
  <si>
    <t>减:经营支出</t>
    <phoneticPr fontId="1" type="noConversion"/>
  </si>
  <si>
    <t xml:space="preserve">    其他转入</t>
    <phoneticPr fontId="1" type="noConversion"/>
  </si>
  <si>
    <t xml:space="preserve">    管理费用</t>
    <phoneticPr fontId="1" type="noConversion"/>
  </si>
  <si>
    <t>五、可分配盈余</t>
    <phoneticPr fontId="3" type="noConversion"/>
  </si>
  <si>
    <t>二、经营收益</t>
    <phoneticPr fontId="1" type="noConversion"/>
  </si>
  <si>
    <t>减：提取盈余公积</t>
    <phoneticPr fontId="1" type="noConversion"/>
  </si>
  <si>
    <t>加:其他收入</t>
    <phoneticPr fontId="1" type="noConversion"/>
  </si>
  <si>
    <t xml:space="preserve">    盈余返还</t>
    <phoneticPr fontId="1" type="noConversion"/>
  </si>
  <si>
    <t>减:其他支出</t>
    <phoneticPr fontId="1" type="noConversion"/>
  </si>
  <si>
    <t xml:space="preserve">    剩余盈余分配</t>
    <phoneticPr fontId="1" type="noConversion"/>
  </si>
  <si>
    <t>三、本期盈余</t>
    <phoneticPr fontId="1" type="noConversion"/>
  </si>
  <si>
    <t>六、年末未分配盈余</t>
    <phoneticPr fontId="1" type="noConversion"/>
  </si>
  <si>
    <r>
      <t>项</t>
    </r>
    <r>
      <rPr>
        <b/>
        <sz val="10"/>
        <rFont val="Times New Roman"/>
        <family val="1"/>
      </rPr>
      <t xml:space="preserve">               </t>
    </r>
    <r>
      <rPr>
        <b/>
        <sz val="10"/>
        <rFont val="宋体"/>
        <charset val="134"/>
      </rPr>
      <t>目</t>
    </r>
    <phoneticPr fontId="3" type="noConversion"/>
  </si>
  <si>
    <t>请选择类别：</t>
    <phoneticPr fontId="1" type="noConversion"/>
  </si>
  <si>
    <t>会小企03表</t>
    <phoneticPr fontId="1" type="noConversion"/>
  </si>
  <si>
    <t xml:space="preserve">       销售产成品、商品、提供劳务收到的现金</t>
    <phoneticPr fontId="1" type="noConversion"/>
  </si>
  <si>
    <t xml:space="preserve">       收到其他与经营活动有关的现金</t>
    <phoneticPr fontId="1" type="noConversion"/>
  </si>
  <si>
    <t xml:space="preserve">       购买原材料、商品、接受劳务支付的现金</t>
    <phoneticPr fontId="1" type="noConversion"/>
  </si>
  <si>
    <t xml:space="preserve">       支付给职工薪酬</t>
    <phoneticPr fontId="1" type="noConversion"/>
  </si>
  <si>
    <t xml:space="preserve">       支付的税费</t>
    <phoneticPr fontId="1" type="noConversion"/>
  </si>
  <si>
    <t xml:space="preserve">       支付其他与经营活动有关的现金</t>
    <phoneticPr fontId="1" type="noConversion"/>
  </si>
  <si>
    <t xml:space="preserve">            经营活动产生的现金流量净额</t>
    <phoneticPr fontId="1" type="noConversion"/>
  </si>
  <si>
    <t xml:space="preserve">        收回短期投资、长期债券投资和长期股权投资收到的现金</t>
    <phoneticPr fontId="1" type="noConversion"/>
  </si>
  <si>
    <t xml:space="preserve">        取得投资收益所到的现金</t>
    <phoneticPr fontId="1" type="noConversion"/>
  </si>
  <si>
    <t xml:space="preserve">        处置固定资产、无形资产和其他非流动资产收回的现金净额</t>
    <phoneticPr fontId="1" type="noConversion"/>
  </si>
  <si>
    <t xml:space="preserve">       短期投资、长期债券投资和长期股权投资支付的现金</t>
    <phoneticPr fontId="1" type="noConversion"/>
  </si>
  <si>
    <t xml:space="preserve">        购建固定资产、无形资产和其他非流动资产支付的现金</t>
    <phoneticPr fontId="1" type="noConversion"/>
  </si>
  <si>
    <t xml:space="preserve">        取得借款所收到的现金</t>
    <phoneticPr fontId="1" type="noConversion"/>
  </si>
  <si>
    <t xml:space="preserve">        吸收投资者投资收到的现金</t>
    <phoneticPr fontId="1" type="noConversion"/>
  </si>
  <si>
    <t xml:space="preserve">        偿还借款本金支付的现金</t>
    <phoneticPr fontId="1" type="noConversion"/>
  </si>
  <si>
    <t xml:space="preserve">         偿还借款利息支付的现金</t>
    <phoneticPr fontId="1" type="noConversion"/>
  </si>
  <si>
    <t xml:space="preserve">        分配利润支付的现金</t>
    <phoneticPr fontId="1" type="noConversion"/>
  </si>
  <si>
    <t xml:space="preserve">             筹资活动产生的现金流量净额</t>
    <phoneticPr fontId="1" type="noConversion"/>
  </si>
  <si>
    <t>单位：元</t>
    <phoneticPr fontId="1" type="noConversion"/>
  </si>
  <si>
    <t>会农合医02表</t>
    <phoneticPr fontId="1" type="noConversion"/>
  </si>
  <si>
    <t xml:space="preserve">          年 </t>
    <phoneticPr fontId="1" type="noConversion"/>
  </si>
  <si>
    <t>一、基金收入</t>
    <phoneticPr fontId="1" type="noConversion"/>
  </si>
  <si>
    <t>来源分类</t>
    <phoneticPr fontId="1" type="noConversion"/>
  </si>
  <si>
    <t>1.农民个人缴费收入</t>
    <phoneticPr fontId="1" type="noConversion"/>
  </si>
  <si>
    <t>2.农村医疗救助自助收入</t>
    <phoneticPr fontId="1" type="noConversion"/>
  </si>
  <si>
    <t>3.集体扶持收入</t>
    <phoneticPr fontId="1" type="noConversion"/>
  </si>
  <si>
    <t>4.政府资助收入</t>
    <phoneticPr fontId="1" type="noConversion"/>
  </si>
  <si>
    <t>5.利息收入</t>
    <phoneticPr fontId="1" type="noConversion"/>
  </si>
  <si>
    <t>6.其他收入</t>
    <phoneticPr fontId="1" type="noConversion"/>
  </si>
  <si>
    <t>性质分类</t>
    <phoneticPr fontId="1" type="noConversion"/>
  </si>
  <si>
    <t>1.统筹基金收入</t>
    <phoneticPr fontId="1" type="noConversion"/>
  </si>
  <si>
    <t>2.家庭账户基金收入</t>
    <phoneticPr fontId="1" type="noConversion"/>
  </si>
  <si>
    <t>二、基金支出</t>
    <phoneticPr fontId="1" type="noConversion"/>
  </si>
  <si>
    <t>（一）统筹基金支出</t>
    <phoneticPr fontId="1" type="noConversion"/>
  </si>
  <si>
    <t>1.住院支出</t>
    <phoneticPr fontId="1" type="noConversion"/>
  </si>
  <si>
    <t>2.门诊支出</t>
    <phoneticPr fontId="1" type="noConversion"/>
  </si>
  <si>
    <t>3.其他支出</t>
    <phoneticPr fontId="1" type="noConversion"/>
  </si>
  <si>
    <t>（二）家庭账户基金支出</t>
    <phoneticPr fontId="1" type="noConversion"/>
  </si>
  <si>
    <t>三、本期基金结余</t>
    <phoneticPr fontId="1" type="noConversion"/>
  </si>
  <si>
    <t>（一）统筹基金结余</t>
    <phoneticPr fontId="1" type="noConversion"/>
  </si>
  <si>
    <t>（二）家庭账户基金结余</t>
    <phoneticPr fontId="1" type="noConversion"/>
  </si>
  <si>
    <r>
      <t xml:space="preserve"> </t>
    </r>
    <r>
      <rPr>
        <sz val="10"/>
        <rFont val="宋体"/>
        <charset val="134"/>
      </rPr>
      <t xml:space="preserve">       以公允价值计量且其变动计入当期损益的金融资产</t>
    </r>
    <phoneticPr fontId="3" type="noConversion"/>
  </si>
  <si>
    <r>
      <t xml:space="preserve"> </t>
    </r>
    <r>
      <rPr>
        <sz val="10"/>
        <rFont val="宋体"/>
        <charset val="134"/>
      </rPr>
      <t xml:space="preserve">       以公允价值计量且其变动计入当期损益的金融负债</t>
    </r>
    <phoneticPr fontId="3" type="noConversion"/>
  </si>
  <si>
    <t xml:space="preserve">    货币资金</t>
  </si>
  <si>
    <t xml:space="preserve">    短期投资</t>
  </si>
  <si>
    <t xml:space="preserve">    应收票据</t>
  </si>
  <si>
    <t xml:space="preserve">    应收账款</t>
  </si>
  <si>
    <t xml:space="preserve">    预付账款</t>
  </si>
  <si>
    <t xml:space="preserve">    固定资产原价</t>
  </si>
  <si>
    <t xml:space="preserve">    固定资产净值</t>
  </si>
  <si>
    <t>项            目</t>
    <phoneticPr fontId="3" type="noConversion"/>
  </si>
  <si>
    <t>流动资产：</t>
    <phoneticPr fontId="3" type="noConversion"/>
  </si>
  <si>
    <t xml:space="preserve">    应收股利</t>
    <phoneticPr fontId="3" type="noConversion"/>
  </si>
  <si>
    <t xml:space="preserve">    应收利息</t>
    <phoneticPr fontId="3" type="noConversion"/>
  </si>
  <si>
    <t xml:space="preserve">    其他应收款</t>
    <phoneticPr fontId="3" type="noConversion"/>
  </si>
  <si>
    <t xml:space="preserve">    应收补贴款</t>
    <phoneticPr fontId="3" type="noConversion"/>
  </si>
  <si>
    <t xml:space="preserve">    存      货</t>
    <phoneticPr fontId="3" type="noConversion"/>
  </si>
  <si>
    <t xml:space="preserve">    待摊费用</t>
    <phoneticPr fontId="3" type="noConversion"/>
  </si>
  <si>
    <t xml:space="preserve">    一年内到期的长期债权投资</t>
    <phoneticPr fontId="3" type="noConversion"/>
  </si>
  <si>
    <t xml:space="preserve">    其他流动资产</t>
    <phoneticPr fontId="3" type="noConversion"/>
  </si>
  <si>
    <t>长期投资：</t>
    <phoneticPr fontId="3" type="noConversion"/>
  </si>
  <si>
    <t xml:space="preserve">    长期股权投资</t>
    <phoneticPr fontId="3" type="noConversion"/>
  </si>
  <si>
    <t xml:space="preserve">    长期债权投资</t>
    <phoneticPr fontId="3" type="noConversion"/>
  </si>
  <si>
    <t xml:space="preserve">    长  期  投  资  合  计</t>
    <phoneticPr fontId="3" type="noConversion"/>
  </si>
  <si>
    <t>固定资产：</t>
    <phoneticPr fontId="3" type="noConversion"/>
  </si>
  <si>
    <t xml:space="preserve">    减：累计折旧</t>
    <phoneticPr fontId="3" type="noConversion"/>
  </si>
  <si>
    <t xml:space="preserve">    减：固定资产减值准备</t>
    <phoneticPr fontId="12" type="noConversion"/>
  </si>
  <si>
    <t xml:space="preserve">    固定资产净额</t>
    <phoneticPr fontId="12" type="noConversion"/>
  </si>
  <si>
    <t xml:space="preserve">    工程物资</t>
    <phoneticPr fontId="3" type="noConversion"/>
  </si>
  <si>
    <t xml:space="preserve">    在建工程</t>
    <phoneticPr fontId="5" type="noConversion"/>
  </si>
  <si>
    <t xml:space="preserve">    固定资产清理</t>
    <phoneticPr fontId="5" type="noConversion"/>
  </si>
  <si>
    <t>无形资产及其他资产：</t>
    <phoneticPr fontId="3" type="noConversion"/>
  </si>
  <si>
    <t xml:space="preserve">    长期待摊费用</t>
    <phoneticPr fontId="3" type="noConversion"/>
  </si>
  <si>
    <t xml:space="preserve">    其他长期资产</t>
    <phoneticPr fontId="3" type="noConversion"/>
  </si>
  <si>
    <t>无形资产及其他资产合计</t>
    <phoneticPr fontId="3" type="noConversion"/>
  </si>
  <si>
    <t>递延税款：</t>
    <phoneticPr fontId="3" type="noConversion"/>
  </si>
  <si>
    <t xml:space="preserve">    递延税款借项</t>
    <phoneticPr fontId="3" type="noConversion"/>
  </si>
  <si>
    <t>会事业01表</t>
    <phoneticPr fontId="1" type="noConversion"/>
  </si>
  <si>
    <t>资产</t>
    <phoneticPr fontId="1" type="noConversion"/>
  </si>
  <si>
    <t>负债和净资产</t>
    <phoneticPr fontId="1" type="noConversion"/>
  </si>
  <si>
    <t>期末余额</t>
    <phoneticPr fontId="1" type="noConversion"/>
  </si>
  <si>
    <t>年初余额</t>
    <phoneticPr fontId="1" type="noConversion"/>
  </si>
  <si>
    <t>流动资产：</t>
    <phoneticPr fontId="1" type="noConversion"/>
  </si>
  <si>
    <t>流动负债：</t>
    <phoneticPr fontId="1" type="noConversion"/>
  </si>
  <si>
    <t>货币资金</t>
    <phoneticPr fontId="1" type="noConversion"/>
  </si>
  <si>
    <t>短期借款</t>
    <phoneticPr fontId="1" type="noConversion"/>
  </si>
  <si>
    <t>短期投资</t>
    <phoneticPr fontId="1" type="noConversion"/>
  </si>
  <si>
    <t>应缴税费</t>
    <phoneticPr fontId="1" type="noConversion"/>
  </si>
  <si>
    <t>财政应返还额度</t>
    <phoneticPr fontId="1" type="noConversion"/>
  </si>
  <si>
    <t>应缴国库款</t>
    <phoneticPr fontId="1" type="noConversion"/>
  </si>
  <si>
    <t>应收票据</t>
    <phoneticPr fontId="1" type="noConversion"/>
  </si>
  <si>
    <t>应缴财政专户款</t>
    <phoneticPr fontId="1" type="noConversion"/>
  </si>
  <si>
    <t>应收账款</t>
    <phoneticPr fontId="1" type="noConversion"/>
  </si>
  <si>
    <t>应付职工薪酬</t>
    <phoneticPr fontId="1" type="noConversion"/>
  </si>
  <si>
    <t>预付账款</t>
    <phoneticPr fontId="1" type="noConversion"/>
  </si>
  <si>
    <t>应付票据</t>
    <phoneticPr fontId="1" type="noConversion"/>
  </si>
  <si>
    <t>其他应收款</t>
    <phoneticPr fontId="1" type="noConversion"/>
  </si>
  <si>
    <t>应付账款</t>
    <phoneticPr fontId="1" type="noConversion"/>
  </si>
  <si>
    <t>存货</t>
    <phoneticPr fontId="1" type="noConversion"/>
  </si>
  <si>
    <t>预收账款</t>
    <phoneticPr fontId="1" type="noConversion"/>
  </si>
  <si>
    <t>其他流动资产</t>
    <phoneticPr fontId="1" type="noConversion"/>
  </si>
  <si>
    <t>其他应付款</t>
    <phoneticPr fontId="1" type="noConversion"/>
  </si>
  <si>
    <t>流动资产合计</t>
    <phoneticPr fontId="1" type="noConversion"/>
  </si>
  <si>
    <t>其他流动负债</t>
    <phoneticPr fontId="1" type="noConversion"/>
  </si>
  <si>
    <t>非流动资产：</t>
    <phoneticPr fontId="1" type="noConversion"/>
  </si>
  <si>
    <t>流动负债合计</t>
    <phoneticPr fontId="1" type="noConversion"/>
  </si>
  <si>
    <t>长期投资</t>
    <phoneticPr fontId="1" type="noConversion"/>
  </si>
  <si>
    <t>非流动负债：</t>
    <phoneticPr fontId="1" type="noConversion"/>
  </si>
  <si>
    <t>固定资产</t>
    <phoneticPr fontId="1" type="noConversion"/>
  </si>
  <si>
    <t>长期借款</t>
    <phoneticPr fontId="1" type="noConversion"/>
  </si>
  <si>
    <t>固定资产原价</t>
    <phoneticPr fontId="1" type="noConversion"/>
  </si>
  <si>
    <t>长期应付款</t>
    <phoneticPr fontId="1" type="noConversion"/>
  </si>
  <si>
    <t>减：累计折旧</t>
    <phoneticPr fontId="1" type="noConversion"/>
  </si>
  <si>
    <t>非流动负债合计</t>
    <phoneticPr fontId="1" type="noConversion"/>
  </si>
  <si>
    <t>在建工程</t>
    <phoneticPr fontId="1" type="noConversion"/>
  </si>
  <si>
    <t>负债合计</t>
    <phoneticPr fontId="1" type="noConversion"/>
  </si>
  <si>
    <t>无形资产</t>
    <phoneticPr fontId="1" type="noConversion"/>
  </si>
  <si>
    <t>净资产：</t>
    <phoneticPr fontId="1" type="noConversion"/>
  </si>
  <si>
    <t>无形资产原价</t>
    <phoneticPr fontId="1" type="noConversion"/>
  </si>
  <si>
    <t>事业基金</t>
    <phoneticPr fontId="1" type="noConversion"/>
  </si>
  <si>
    <t>减：累计摊销</t>
    <phoneticPr fontId="1" type="noConversion"/>
  </si>
  <si>
    <t>非流动资产基金</t>
    <phoneticPr fontId="1" type="noConversion"/>
  </si>
  <si>
    <t>待处置资产损溢</t>
    <phoneticPr fontId="1" type="noConversion"/>
  </si>
  <si>
    <t>专用基金</t>
    <phoneticPr fontId="1" type="noConversion"/>
  </si>
  <si>
    <t>非流动资产合计</t>
    <phoneticPr fontId="1" type="noConversion"/>
  </si>
  <si>
    <t>财政补助结转</t>
    <phoneticPr fontId="1" type="noConversion"/>
  </si>
  <si>
    <t>财政补助结余</t>
    <phoneticPr fontId="1" type="noConversion"/>
  </si>
  <si>
    <t>非财政补助结转</t>
    <phoneticPr fontId="1" type="noConversion"/>
  </si>
  <si>
    <t>非财政补助结余</t>
    <phoneticPr fontId="1" type="noConversion"/>
  </si>
  <si>
    <t>1.事业结余</t>
    <phoneticPr fontId="1" type="noConversion"/>
  </si>
  <si>
    <t>2.经营结余</t>
    <phoneticPr fontId="1" type="noConversion"/>
  </si>
  <si>
    <t>净资产合计</t>
    <phoneticPr fontId="1" type="noConversion"/>
  </si>
  <si>
    <t>负债和净资产总计</t>
    <phoneticPr fontId="1" type="noConversion"/>
  </si>
  <si>
    <t>会事业02表</t>
    <phoneticPr fontId="1" type="noConversion"/>
  </si>
  <si>
    <t>项目</t>
    <phoneticPr fontId="1" type="noConversion"/>
  </si>
  <si>
    <t>一、本期财政补助结转结余</t>
    <phoneticPr fontId="1" type="noConversion"/>
  </si>
  <si>
    <t>减：事业支出（财政补助支出）</t>
    <phoneticPr fontId="1" type="noConversion"/>
  </si>
  <si>
    <t>二、本期事业结转结余</t>
    <phoneticPr fontId="1" type="noConversion"/>
  </si>
  <si>
    <t>（一）事业类收入</t>
    <phoneticPr fontId="1" type="noConversion"/>
  </si>
  <si>
    <t>1.事业收入</t>
    <phoneticPr fontId="1" type="noConversion"/>
  </si>
  <si>
    <t>2.上级补助收入</t>
    <phoneticPr fontId="1" type="noConversion"/>
  </si>
  <si>
    <t>3.附属单位上缴收入</t>
    <phoneticPr fontId="1" type="noConversion"/>
  </si>
  <si>
    <t>4.其他收入</t>
    <phoneticPr fontId="1" type="noConversion"/>
  </si>
  <si>
    <t>其中：捐赠收入</t>
    <phoneticPr fontId="1" type="noConversion"/>
  </si>
  <si>
    <t>减：（二）事业类支出</t>
    <phoneticPr fontId="1" type="noConversion"/>
  </si>
  <si>
    <t>1.事业支出（非财政补助支出）</t>
    <phoneticPr fontId="1" type="noConversion"/>
  </si>
  <si>
    <t>2.上缴上级支出</t>
    <phoneticPr fontId="1" type="noConversion"/>
  </si>
  <si>
    <t>3.对附属单位补助支出</t>
    <phoneticPr fontId="1" type="noConversion"/>
  </si>
  <si>
    <t>4.其他支出</t>
    <phoneticPr fontId="1" type="noConversion"/>
  </si>
  <si>
    <t>三、本期经营结余</t>
    <phoneticPr fontId="1" type="noConversion"/>
  </si>
  <si>
    <t>经营收入</t>
    <phoneticPr fontId="1" type="noConversion"/>
  </si>
  <si>
    <t>减：经营支出</t>
    <phoneticPr fontId="1" type="noConversion"/>
  </si>
  <si>
    <t>四、弥补以前年度亏损后的经营结余</t>
    <phoneticPr fontId="1" type="noConversion"/>
  </si>
  <si>
    <t>五、本年非财政补助结转结余</t>
    <phoneticPr fontId="1" type="noConversion"/>
  </si>
  <si>
    <t>减：非财政补助结转</t>
    <phoneticPr fontId="1" type="noConversion"/>
  </si>
  <si>
    <t>六、本年非财政补助结余</t>
    <phoneticPr fontId="1" type="noConversion"/>
  </si>
  <si>
    <t>减：应缴企业所得税</t>
    <phoneticPr fontId="1" type="noConversion"/>
  </si>
  <si>
    <t>减：提取专用基金</t>
    <phoneticPr fontId="1" type="noConversion"/>
  </si>
  <si>
    <t>七、转入事业基金</t>
    <phoneticPr fontId="1" type="noConversion"/>
  </si>
  <si>
    <t>上年累计数</t>
    <phoneticPr fontId="4" type="noConversion"/>
  </si>
  <si>
    <t>会农合医01表</t>
    <phoneticPr fontId="1" type="noConversion"/>
  </si>
  <si>
    <t>编制单位：</t>
    <phoneticPr fontId="1" type="noConversion"/>
  </si>
  <si>
    <t xml:space="preserve">   年   月   日</t>
    <phoneticPr fontId="1" type="noConversion"/>
  </si>
  <si>
    <t>单位：元</t>
    <phoneticPr fontId="1" type="noConversion"/>
  </si>
  <si>
    <t>资产</t>
    <phoneticPr fontId="1" type="noConversion"/>
  </si>
  <si>
    <t>年初数</t>
    <phoneticPr fontId="1" type="noConversion"/>
  </si>
  <si>
    <t>期末数</t>
    <phoneticPr fontId="1" type="noConversion"/>
  </si>
  <si>
    <t>负债和净资产</t>
    <phoneticPr fontId="1" type="noConversion"/>
  </si>
  <si>
    <t>现金</t>
    <phoneticPr fontId="1" type="noConversion"/>
  </si>
  <si>
    <t>负债</t>
    <phoneticPr fontId="1" type="noConversion"/>
  </si>
  <si>
    <t>财政专户存款</t>
    <phoneticPr fontId="1" type="noConversion"/>
  </si>
  <si>
    <t>暂收款</t>
    <phoneticPr fontId="1" type="noConversion"/>
  </si>
  <si>
    <t>支出户存款</t>
    <phoneticPr fontId="1" type="noConversion"/>
  </si>
  <si>
    <t>负债合计</t>
    <phoneticPr fontId="1" type="noConversion"/>
  </si>
  <si>
    <t>暂付款</t>
    <phoneticPr fontId="1" type="noConversion"/>
  </si>
  <si>
    <t>净资产</t>
    <phoneticPr fontId="1" type="noConversion"/>
  </si>
  <si>
    <t>缴存省级风险基金</t>
    <phoneticPr fontId="1" type="noConversion"/>
  </si>
  <si>
    <t>统筹基金</t>
    <phoneticPr fontId="1" type="noConversion"/>
  </si>
  <si>
    <t>其中：一般统筹基金</t>
    <phoneticPr fontId="1" type="noConversion"/>
  </si>
  <si>
    <t>家庭账户基金</t>
    <phoneticPr fontId="1" type="noConversion"/>
  </si>
  <si>
    <t>净资产合计</t>
    <phoneticPr fontId="1" type="noConversion"/>
  </si>
  <si>
    <t>资产总计</t>
    <phoneticPr fontId="1" type="noConversion"/>
  </si>
  <si>
    <t>负债与净资产总计</t>
    <phoneticPr fontId="1" type="noConversion"/>
  </si>
  <si>
    <t>资产负债表</t>
    <phoneticPr fontId="1" type="noConversion"/>
  </si>
  <si>
    <t>资产负债表</t>
    <phoneticPr fontId="3" type="noConversion"/>
  </si>
  <si>
    <t>利润表</t>
    <phoneticPr fontId="11" type="noConversion"/>
  </si>
  <si>
    <t>现金流量表</t>
    <phoneticPr fontId="16" type="noConversion"/>
  </si>
  <si>
    <t>资产负债表</t>
    <phoneticPr fontId="1" type="noConversion"/>
  </si>
  <si>
    <t>利润表</t>
    <phoneticPr fontId="1" type="noConversion"/>
  </si>
  <si>
    <t>现金流量表</t>
    <phoneticPr fontId="1" type="noConversion"/>
  </si>
  <si>
    <t>资产负债表</t>
    <phoneticPr fontId="1" type="noConversion"/>
  </si>
  <si>
    <t>收入支出表</t>
    <phoneticPr fontId="1" type="noConversion"/>
  </si>
  <si>
    <t>收入费用总表</t>
    <phoneticPr fontId="1" type="noConversion"/>
  </si>
  <si>
    <r>
      <t>资</t>
    </r>
    <r>
      <rPr>
        <b/>
        <sz val="22"/>
        <rFont val="Times New Roman"/>
        <family val="1"/>
      </rPr>
      <t xml:space="preserve">  </t>
    </r>
    <r>
      <rPr>
        <b/>
        <sz val="22"/>
        <rFont val="宋体"/>
        <charset val="134"/>
      </rPr>
      <t>产</t>
    </r>
    <r>
      <rPr>
        <b/>
        <sz val="22"/>
        <rFont val="Times New Roman"/>
        <family val="1"/>
      </rPr>
      <t xml:space="preserve">  </t>
    </r>
    <r>
      <rPr>
        <b/>
        <sz val="22"/>
        <rFont val="宋体"/>
        <charset val="134"/>
      </rPr>
      <t>负</t>
    </r>
    <r>
      <rPr>
        <b/>
        <sz val="22"/>
        <rFont val="Times New Roman"/>
        <family val="1"/>
      </rPr>
      <t xml:space="preserve">  </t>
    </r>
    <r>
      <rPr>
        <b/>
        <sz val="22"/>
        <rFont val="宋体"/>
        <charset val="134"/>
      </rPr>
      <t>债</t>
    </r>
    <r>
      <rPr>
        <b/>
        <sz val="22"/>
        <rFont val="Times New Roman"/>
        <family val="1"/>
      </rPr>
      <t xml:space="preserve">  </t>
    </r>
    <r>
      <rPr>
        <b/>
        <sz val="22"/>
        <rFont val="宋体"/>
        <charset val="134"/>
      </rPr>
      <t>表</t>
    </r>
    <phoneticPr fontId="3" type="noConversion"/>
  </si>
  <si>
    <t>收入支出表（年报）</t>
    <phoneticPr fontId="1" type="noConversion"/>
  </si>
  <si>
    <t>资产负债表</t>
    <phoneticPr fontId="4" type="noConversion"/>
  </si>
  <si>
    <t>收入支出表</t>
    <phoneticPr fontId="4" type="noConversion"/>
  </si>
  <si>
    <t xml:space="preserve">   资    产    负    债    表</t>
    <phoneticPr fontId="3" type="noConversion"/>
  </si>
  <si>
    <t xml:space="preserve">  #其中：职工奖励及福利基金</t>
    <phoneticPr fontId="3" type="noConversion"/>
  </si>
  <si>
    <t>其中：国有法人资本</t>
    <phoneticPr fontId="3" type="noConversion"/>
  </si>
  <si>
    <t>业务情况</t>
    <phoneticPr fontId="1" type="noConversion"/>
  </si>
  <si>
    <t>无保留意见的强调事项</t>
    <phoneticPr fontId="1" type="noConversion"/>
  </si>
  <si>
    <t>保留意见内容</t>
    <phoneticPr fontId="1" type="noConversion"/>
  </si>
  <si>
    <t>无保留意见</t>
    <phoneticPr fontId="1" type="noConversion"/>
  </si>
  <si>
    <t>请选择</t>
  </si>
  <si>
    <t>清算方式</t>
    <phoneticPr fontId="1" type="noConversion"/>
  </si>
  <si>
    <t>清算基准日</t>
    <phoneticPr fontId="1" type="noConversion"/>
  </si>
  <si>
    <t>清算基准日资产总额</t>
    <phoneticPr fontId="1" type="noConversion"/>
  </si>
  <si>
    <t>清算基准日负债总额</t>
    <phoneticPr fontId="1" type="noConversion"/>
  </si>
  <si>
    <t>清算基准日净资产总额</t>
    <phoneticPr fontId="1" type="noConversion"/>
  </si>
  <si>
    <t>清算结束日负债总额</t>
    <phoneticPr fontId="1" type="noConversion"/>
  </si>
  <si>
    <t>清算结束日净资产总额</t>
    <phoneticPr fontId="1" type="noConversion"/>
  </si>
  <si>
    <t>事前补助/事后补助</t>
    <phoneticPr fontId="1" type="noConversion"/>
  </si>
  <si>
    <t>是否符合财政专项资金管理相关规定</t>
    <phoneticPr fontId="1" type="noConversion"/>
  </si>
  <si>
    <t>对于重大违反规定事项描述</t>
    <phoneticPr fontId="1" type="noConversion"/>
  </si>
  <si>
    <t>被审计财政专项资金总额</t>
    <phoneticPr fontId="1" type="noConversion"/>
  </si>
  <si>
    <t>其他各级财政配套专项资金合计</t>
    <phoneticPr fontId="1" type="noConversion"/>
  </si>
  <si>
    <t>被审计财政专项资金到位金额</t>
    <phoneticPr fontId="1" type="noConversion"/>
  </si>
  <si>
    <t>财政资金已使用金额</t>
    <phoneticPr fontId="1" type="noConversion"/>
  </si>
  <si>
    <t>财政资金结余（超支）金额</t>
    <phoneticPr fontId="1" type="noConversion"/>
  </si>
  <si>
    <t>企业自筹资金总额</t>
    <phoneticPr fontId="1" type="noConversion"/>
  </si>
  <si>
    <t>企业自筹资金到位金额</t>
    <phoneticPr fontId="1" type="noConversion"/>
  </si>
  <si>
    <t>形成固定资产总额</t>
    <phoneticPr fontId="1" type="noConversion"/>
  </si>
  <si>
    <t>评价内容</t>
    <phoneticPr fontId="1" type="noConversion"/>
  </si>
  <si>
    <t>评价期间</t>
    <phoneticPr fontId="1" type="noConversion"/>
  </si>
  <si>
    <t>审计截止日</t>
    <phoneticPr fontId="1" type="noConversion"/>
  </si>
  <si>
    <t>审计意见类型</t>
    <phoneticPr fontId="1" type="noConversion"/>
  </si>
  <si>
    <t>是否存在重大缺陷</t>
    <phoneticPr fontId="1" type="noConversion"/>
  </si>
  <si>
    <t>是</t>
  </si>
  <si>
    <t>审计项目（对象）名称</t>
    <phoneticPr fontId="1" type="noConversion"/>
  </si>
  <si>
    <t>审计期间或审计截止日</t>
    <phoneticPr fontId="1" type="noConversion"/>
  </si>
  <si>
    <t>审计收入金额</t>
    <phoneticPr fontId="1" type="noConversion"/>
  </si>
  <si>
    <t>审计支出（费用）金额</t>
    <phoneticPr fontId="1" type="noConversion"/>
  </si>
  <si>
    <t>审计利润金额</t>
    <phoneticPr fontId="1" type="noConversion"/>
  </si>
  <si>
    <t>审计净资产金额</t>
    <phoneticPr fontId="1" type="noConversion"/>
  </si>
  <si>
    <t>其他审计目标</t>
    <phoneticPr fontId="1" type="noConversion"/>
  </si>
  <si>
    <t>其他审计目标审计金额</t>
    <phoneticPr fontId="1" type="noConversion"/>
  </si>
  <si>
    <t>其他审计目标审计金额：</t>
    <phoneticPr fontId="1" type="noConversion"/>
  </si>
  <si>
    <t>审计项目（对象）名称：</t>
    <phoneticPr fontId="1" type="noConversion"/>
  </si>
  <si>
    <t>是否发现重大违反海关监管的问题：</t>
    <phoneticPr fontId="1" type="noConversion"/>
  </si>
  <si>
    <t>一般贸易方式进口金额（人民币）：</t>
    <phoneticPr fontId="1" type="noConversion"/>
  </si>
  <si>
    <t>其他贸易方式进口金额（人民币）：</t>
    <phoneticPr fontId="1" type="noConversion"/>
  </si>
  <si>
    <t>一般贸易方式出口金额（人民币）：</t>
    <phoneticPr fontId="1" type="noConversion"/>
  </si>
  <si>
    <t>其他贸易方式出口金额（人民币）：</t>
    <phoneticPr fontId="1" type="noConversion"/>
  </si>
  <si>
    <t>其他审计目标：</t>
    <phoneticPr fontId="1" type="noConversion"/>
  </si>
  <si>
    <t>审计期间：</t>
    <phoneticPr fontId="1" type="noConversion"/>
  </si>
  <si>
    <t>被审计年度（期间）：</t>
    <phoneticPr fontId="1" type="noConversion"/>
  </si>
  <si>
    <t>所属税局：</t>
    <phoneticPr fontId="1" type="noConversion"/>
  </si>
  <si>
    <t>主营业务收入：</t>
    <phoneticPr fontId="1" type="noConversion"/>
  </si>
  <si>
    <t>资产总额：</t>
    <phoneticPr fontId="1" type="noConversion"/>
  </si>
  <si>
    <t>利润总额：</t>
    <phoneticPr fontId="1" type="noConversion"/>
  </si>
  <si>
    <t>弥补亏损额：</t>
    <phoneticPr fontId="1" type="noConversion"/>
  </si>
  <si>
    <t>应补（退）所得税额：</t>
    <phoneticPr fontId="1" type="noConversion"/>
  </si>
  <si>
    <t>无保留意见的强调事项：</t>
    <phoneticPr fontId="1" type="noConversion"/>
  </si>
  <si>
    <t>征收方式：</t>
    <phoneticPr fontId="1" type="noConversion"/>
  </si>
  <si>
    <t>收入总额：</t>
    <phoneticPr fontId="1" type="noConversion"/>
  </si>
  <si>
    <t>负债总额：</t>
    <phoneticPr fontId="1" type="noConversion"/>
  </si>
  <si>
    <t>纳税调整增加（减少)额：</t>
    <phoneticPr fontId="1" type="noConversion"/>
  </si>
  <si>
    <t>减免（抵免）所得税额：</t>
    <phoneticPr fontId="1" type="noConversion"/>
  </si>
  <si>
    <t>实际应纳所得税额：</t>
    <phoneticPr fontId="1" type="noConversion"/>
  </si>
  <si>
    <t>报告意见类型：</t>
    <phoneticPr fontId="1" type="noConversion"/>
  </si>
  <si>
    <t>保留意见内容：</t>
    <phoneticPr fontId="1" type="noConversion"/>
  </si>
  <si>
    <t>资产损失类型：</t>
    <phoneticPr fontId="1" type="noConversion"/>
  </si>
  <si>
    <t>被审计经济责任人：</t>
    <phoneticPr fontId="1" type="noConversion"/>
  </si>
  <si>
    <t>审计期间：</t>
    <phoneticPr fontId="1" type="noConversion"/>
  </si>
  <si>
    <t>具体问题：</t>
    <phoneticPr fontId="1" type="noConversion"/>
  </si>
  <si>
    <t>是否发现重大经济责任问题：</t>
    <phoneticPr fontId="1" type="noConversion"/>
  </si>
  <si>
    <t>任职期初净资产：</t>
    <phoneticPr fontId="1" type="noConversion"/>
  </si>
  <si>
    <t>任职期末净资产：</t>
    <phoneticPr fontId="1" type="noConversion"/>
  </si>
  <si>
    <t>审计截止日：</t>
    <phoneticPr fontId="1" type="noConversion"/>
  </si>
  <si>
    <t>具体问题：</t>
    <phoneticPr fontId="1" type="noConversion"/>
  </si>
  <si>
    <t>是否存在重大缺陷：</t>
    <phoneticPr fontId="1" type="noConversion"/>
  </si>
  <si>
    <t>审计意见类型：</t>
    <phoneticPr fontId="1" type="noConversion"/>
  </si>
  <si>
    <t>审计期间或审计截止日：</t>
    <phoneticPr fontId="1" type="noConversion"/>
  </si>
  <si>
    <t>审计收入金额：</t>
    <phoneticPr fontId="1" type="noConversion"/>
  </si>
  <si>
    <t>审计支出（费用）金额：</t>
    <phoneticPr fontId="1" type="noConversion"/>
  </si>
  <si>
    <t>审计利润金额：</t>
    <phoneticPr fontId="1" type="noConversion"/>
  </si>
  <si>
    <t>审计净资产金额：</t>
    <phoneticPr fontId="1" type="noConversion"/>
  </si>
  <si>
    <t>审计期间:</t>
    <phoneticPr fontId="1" type="noConversion"/>
  </si>
  <si>
    <t>其他贸易方式出口金额（人民币）：</t>
    <phoneticPr fontId="1" type="noConversion"/>
  </si>
  <si>
    <t>其他贸易方式进口金额（人民币）：</t>
    <phoneticPr fontId="1" type="noConversion"/>
  </si>
  <si>
    <t>业务情况</t>
    <phoneticPr fontId="1" type="noConversion"/>
  </si>
  <si>
    <t>鉴证支出（费用）金额：</t>
    <phoneticPr fontId="1" type="noConversion"/>
  </si>
  <si>
    <t>鉴证净资产金额：</t>
    <phoneticPr fontId="1" type="noConversion"/>
  </si>
  <si>
    <t>其他鉴证目标：</t>
    <phoneticPr fontId="1" type="noConversion"/>
  </si>
  <si>
    <t>其他鉴证目标金额：</t>
    <phoneticPr fontId="1" type="noConversion"/>
  </si>
  <si>
    <t>鉴证项目（对象）名称：</t>
    <phoneticPr fontId="1" type="noConversion"/>
  </si>
  <si>
    <t>鉴证收入金额：</t>
    <phoneticPr fontId="1" type="noConversion"/>
  </si>
  <si>
    <t>鉴证利润金额：</t>
    <phoneticPr fontId="1" type="noConversion"/>
  </si>
  <si>
    <t>鉴证期间或鉴证截止日：</t>
    <phoneticPr fontId="1" type="noConversion"/>
  </si>
  <si>
    <t>保留意见内容：</t>
    <phoneticPr fontId="1" type="noConversion"/>
  </si>
  <si>
    <t>被审计年度（期间）：</t>
    <phoneticPr fontId="1" type="noConversion"/>
  </si>
  <si>
    <t>所属税局：</t>
    <phoneticPr fontId="1" type="noConversion"/>
  </si>
  <si>
    <t>主营业务收入：</t>
    <phoneticPr fontId="1" type="noConversion"/>
  </si>
  <si>
    <t>资产总额：</t>
    <phoneticPr fontId="1" type="noConversion"/>
  </si>
  <si>
    <t>利润总额：</t>
    <phoneticPr fontId="1" type="noConversion"/>
  </si>
  <si>
    <t>弥补亏损额：</t>
    <phoneticPr fontId="1" type="noConversion"/>
  </si>
  <si>
    <t>应补（退）所得税额：</t>
    <phoneticPr fontId="1" type="noConversion"/>
  </si>
  <si>
    <t>征收方式：</t>
    <phoneticPr fontId="1" type="noConversion"/>
  </si>
  <si>
    <t>增值税纳税人类型：</t>
    <phoneticPr fontId="1" type="noConversion"/>
  </si>
  <si>
    <t>收入总额：</t>
    <phoneticPr fontId="1" type="noConversion"/>
  </si>
  <si>
    <t>负债总额：</t>
    <phoneticPr fontId="1" type="noConversion"/>
  </si>
  <si>
    <t>纳税调整增加（减少)额：</t>
    <phoneticPr fontId="1" type="noConversion"/>
  </si>
  <si>
    <t>减免（抵免）所得税额：</t>
    <phoneticPr fontId="1" type="noConversion"/>
  </si>
  <si>
    <t>实际应纳所得税额：</t>
    <phoneticPr fontId="1" type="noConversion"/>
  </si>
  <si>
    <t>基础资料</t>
    <phoneticPr fontId="1" type="noConversion"/>
  </si>
  <si>
    <t>利润表</t>
    <phoneticPr fontId="1" type="noConversion"/>
  </si>
  <si>
    <t>现金流量表</t>
    <phoneticPr fontId="3" type="noConversion"/>
  </si>
  <si>
    <t>期末余额</t>
    <phoneticPr fontId="3" type="noConversion"/>
  </si>
  <si>
    <t>一、经营活动产生的现金流量</t>
    <phoneticPr fontId="16" type="noConversion"/>
  </si>
  <si>
    <t>流动资产：</t>
    <phoneticPr fontId="1" type="noConversion"/>
  </si>
  <si>
    <t>非流动负债：</t>
    <phoneticPr fontId="1" type="noConversion"/>
  </si>
  <si>
    <t xml:space="preserve">非流动资产： </t>
    <phoneticPr fontId="1" type="noConversion"/>
  </si>
  <si>
    <t xml:space="preserve">     负债合计</t>
    <phoneticPr fontId="1" type="noConversion"/>
  </si>
  <si>
    <t>行次</t>
    <phoneticPr fontId="1" type="noConversion"/>
  </si>
  <si>
    <t>4.事业单位</t>
  </si>
  <si>
    <t xml:space="preserve">非流动资产： </t>
    <phoneticPr fontId="1" type="noConversion"/>
  </si>
  <si>
    <t>非流动负债：</t>
    <phoneticPr fontId="1" type="noConversion"/>
  </si>
  <si>
    <t xml:space="preserve">     负债合计</t>
    <phoneticPr fontId="1" type="noConversion"/>
  </si>
  <si>
    <t>净资产：</t>
    <phoneticPr fontId="1" type="noConversion"/>
  </si>
  <si>
    <t xml:space="preserve">    净资产合计</t>
    <phoneticPr fontId="1" type="noConversion"/>
  </si>
  <si>
    <t>资产总计</t>
    <phoneticPr fontId="1" type="noConversion"/>
  </si>
  <si>
    <t>收入支出表</t>
    <phoneticPr fontId="1" type="noConversion"/>
  </si>
  <si>
    <t>非流动资产：</t>
    <phoneticPr fontId="1" type="noConversion"/>
  </si>
  <si>
    <t>负债合计</t>
    <phoneticPr fontId="1" type="noConversion"/>
  </si>
  <si>
    <t>收入支出总表</t>
    <phoneticPr fontId="3" type="noConversion"/>
  </si>
  <si>
    <t>资产负债表</t>
    <phoneticPr fontId="1" type="noConversion"/>
  </si>
  <si>
    <t>收入支出表</t>
    <phoneticPr fontId="4" type="noConversion"/>
  </si>
  <si>
    <t>受托代理负债：</t>
    <phoneticPr fontId="5" type="noConversion"/>
  </si>
  <si>
    <t>无形资产及其他资产：</t>
    <phoneticPr fontId="3" type="noConversion"/>
  </si>
  <si>
    <t>净资产：</t>
    <phoneticPr fontId="5" type="noConversion"/>
  </si>
  <si>
    <t>受托代理资产：</t>
    <phoneticPr fontId="3" type="noConversion"/>
  </si>
  <si>
    <t>流动负债合计</t>
    <phoneticPr fontId="1" type="noConversion"/>
  </si>
  <si>
    <t>流动资产合计</t>
    <phoneticPr fontId="1" type="noConversion"/>
  </si>
  <si>
    <t>长期投资合计</t>
    <phoneticPr fontId="1" type="noConversion"/>
  </si>
  <si>
    <t>长期负债合计</t>
    <phoneticPr fontId="1" type="noConversion"/>
  </si>
  <si>
    <t>固定资产合计</t>
    <phoneticPr fontId="1" type="noConversion"/>
  </si>
  <si>
    <t>负债合计</t>
    <phoneticPr fontId="1" type="noConversion"/>
  </si>
  <si>
    <t>无形资产及其他资产合计</t>
    <phoneticPr fontId="1" type="noConversion"/>
  </si>
  <si>
    <t>净资产合计</t>
    <phoneticPr fontId="3" type="noConversion"/>
  </si>
  <si>
    <t>资产总计</t>
    <phoneticPr fontId="1" type="noConversion"/>
  </si>
  <si>
    <t>应付其他个人收入</t>
    <phoneticPr fontId="4" type="noConversion"/>
  </si>
  <si>
    <t>资产负债表</t>
    <phoneticPr fontId="4" type="noConversion"/>
  </si>
  <si>
    <t>资产负债表</t>
    <phoneticPr fontId="1" type="noConversion"/>
  </si>
  <si>
    <t>收支表</t>
    <phoneticPr fontId="1" type="noConversion"/>
  </si>
  <si>
    <t>行次</t>
    <phoneticPr fontId="1" type="noConversion"/>
  </si>
  <si>
    <t>收益及收益分配表</t>
    <phoneticPr fontId="1" type="noConversion"/>
  </si>
  <si>
    <t>本年收益</t>
    <phoneticPr fontId="1" type="noConversion"/>
  </si>
  <si>
    <t>盈余及盈余分配表</t>
    <phoneticPr fontId="3" type="noConversion"/>
  </si>
  <si>
    <t>清算间期</t>
    <phoneticPr fontId="1" type="noConversion"/>
  </si>
  <si>
    <t>清算损益</t>
    <phoneticPr fontId="1" type="noConversion"/>
  </si>
  <si>
    <t>外方投资者实际出资额</t>
    <phoneticPr fontId="27" type="noConversion"/>
  </si>
  <si>
    <t>外方实到注册资本</t>
    <phoneticPr fontId="27" type="noConversion"/>
  </si>
  <si>
    <t>外方享有的留存收益额</t>
    <phoneticPr fontId="27" type="noConversion"/>
  </si>
  <si>
    <t>应付外方股利</t>
    <phoneticPr fontId="27" type="noConversion"/>
  </si>
  <si>
    <t>审计截止日</t>
    <phoneticPr fontId="1" type="noConversion"/>
  </si>
  <si>
    <t>审计意见类型</t>
    <phoneticPr fontId="1" type="noConversion"/>
  </si>
  <si>
    <t>是否存在重大缺陷</t>
    <phoneticPr fontId="1" type="noConversion"/>
  </si>
  <si>
    <t>无保留意见带强调事项</t>
  </si>
  <si>
    <t>上半场比赛中，国足非常被动，经过调整，场面逐渐好转。对此里皮评价说，下半场阵型变成352，加强了防守，压缩了空间。同时，派上了高中锋肖智，利用他的头球加强进攻，这是球队局面取得变化的原因。</t>
    <phoneticPr fontId="1" type="noConversion"/>
  </si>
  <si>
    <t>赛前新闻发布会上，里皮曾说于大宝将担任队长，但在比赛中，队长袖标戴在了赵旭日手臂上。里皮坦言，赛前他有所失误，没有了解到赵旭日才是代表国家队出场次数最多的球员。尽管被教练摆了乌龙，但于大宝又进球了。里皮说，他对于大宝一直充满了期待，虽然今年因为伤病问题，于大宝在俱乐部没有获得比较多的出场机会，但他对国家队帮助特别大。</t>
    <phoneticPr fontId="1" type="noConversion"/>
  </si>
  <si>
    <t>免税、减计收入及加计扣除额：</t>
    <phoneticPr fontId="1" type="noConversion"/>
  </si>
  <si>
    <t>增值税纳税人类型：</t>
    <phoneticPr fontId="1" type="noConversion"/>
  </si>
  <si>
    <t>资产损失类型：</t>
    <phoneticPr fontId="1" type="noConversion"/>
  </si>
  <si>
    <t>习近平主持中央政治局会议 分析研究2018年经济工作</t>
    <phoneticPr fontId="1" type="noConversion"/>
  </si>
  <si>
    <t>时政新闻</t>
    <phoneticPr fontId="1" type="noConversion"/>
  </si>
  <si>
    <t>鉴证事项1金额：</t>
    <phoneticPr fontId="1" type="noConversion"/>
  </si>
  <si>
    <t>鉴证事项1结论：</t>
    <phoneticPr fontId="1" type="noConversion"/>
  </si>
  <si>
    <t>委托鉴证事项1：</t>
    <phoneticPr fontId="1" type="noConversion"/>
  </si>
  <si>
    <t>委托鉴证事项2：</t>
    <phoneticPr fontId="1" type="noConversion"/>
  </si>
  <si>
    <t>鉴证事项2结论：</t>
    <phoneticPr fontId="1" type="noConversion"/>
  </si>
  <si>
    <t>鉴证事项2金额：</t>
    <phoneticPr fontId="1" type="noConversion"/>
  </si>
  <si>
    <t>被审计年度（期间）：</t>
    <phoneticPr fontId="1" type="noConversion"/>
  </si>
  <si>
    <t>所属税局：</t>
    <phoneticPr fontId="1" type="noConversion"/>
  </si>
  <si>
    <t>主营业务收入：</t>
    <phoneticPr fontId="1" type="noConversion"/>
  </si>
  <si>
    <t>资产总额：</t>
    <phoneticPr fontId="1" type="noConversion"/>
  </si>
  <si>
    <t>利润总额：</t>
    <phoneticPr fontId="1" type="noConversion"/>
  </si>
  <si>
    <t>免税、减计收入及加计扣除额：</t>
    <phoneticPr fontId="1" type="noConversion"/>
  </si>
  <si>
    <t>弥补亏损额：</t>
    <phoneticPr fontId="1" type="noConversion"/>
  </si>
  <si>
    <t>应补（退）所得税额：</t>
    <phoneticPr fontId="1" type="noConversion"/>
  </si>
  <si>
    <t>无保留意见的强调事项：</t>
    <phoneticPr fontId="1" type="noConversion"/>
  </si>
  <si>
    <t>征收方式：</t>
    <phoneticPr fontId="1" type="noConversion"/>
  </si>
  <si>
    <t>增值税纳税人类型：</t>
    <phoneticPr fontId="1" type="noConversion"/>
  </si>
  <si>
    <t>收入总额：</t>
    <phoneticPr fontId="1" type="noConversion"/>
  </si>
  <si>
    <t>负债总额：</t>
    <phoneticPr fontId="1" type="noConversion"/>
  </si>
  <si>
    <t>纳税调整增加（减少)额：</t>
    <phoneticPr fontId="1" type="noConversion"/>
  </si>
  <si>
    <t>减免（抵免）所得税额：</t>
    <phoneticPr fontId="1" type="noConversion"/>
  </si>
  <si>
    <t>实际应纳所得税额：</t>
    <phoneticPr fontId="1" type="noConversion"/>
  </si>
  <si>
    <t>报告类型：</t>
    <phoneticPr fontId="1" type="noConversion"/>
  </si>
  <si>
    <t>保留意见内容：</t>
    <phoneticPr fontId="1" type="noConversion"/>
  </si>
  <si>
    <t>资产损失类型：</t>
    <phoneticPr fontId="1" type="noConversion"/>
  </si>
  <si>
    <t>免税、减计收入及加计扣除额：</t>
    <phoneticPr fontId="1" type="noConversion"/>
  </si>
  <si>
    <t>资本变化情况</t>
    <phoneticPr fontId="1" type="noConversion"/>
  </si>
  <si>
    <t>出资形式</t>
    <phoneticPr fontId="1" type="noConversion"/>
  </si>
  <si>
    <t>验资类型</t>
    <phoneticPr fontId="1" type="noConversion"/>
  </si>
  <si>
    <t>财务报表审计</t>
    <phoneticPr fontId="1" type="noConversion"/>
  </si>
  <si>
    <t>验资</t>
    <phoneticPr fontId="1" type="noConversion"/>
  </si>
  <si>
    <t>专项审计</t>
    <phoneticPr fontId="1" type="noConversion"/>
  </si>
  <si>
    <t>鉴证</t>
    <phoneticPr fontId="1" type="noConversion"/>
  </si>
  <si>
    <t xml:space="preserve">  3.小企业</t>
    <phoneticPr fontId="1" type="noConversion"/>
  </si>
  <si>
    <t xml:space="preserve">  4.事业单位</t>
    <phoneticPr fontId="1" type="noConversion"/>
  </si>
  <si>
    <t xml:space="preserve">  5.医院</t>
    <phoneticPr fontId="1" type="noConversion"/>
  </si>
  <si>
    <t xml:space="preserve">  6.基层医疗卫生机构</t>
    <phoneticPr fontId="1" type="noConversion"/>
  </si>
  <si>
    <t xml:space="preserve">  7.科学事业单位</t>
    <phoneticPr fontId="1" type="noConversion"/>
  </si>
  <si>
    <t xml:space="preserve">  8.高校</t>
    <phoneticPr fontId="1" type="noConversion"/>
  </si>
  <si>
    <t xml:space="preserve">  9.中小学</t>
    <phoneticPr fontId="1" type="noConversion"/>
  </si>
  <si>
    <t xml:space="preserve">  10.彩票机构</t>
    <phoneticPr fontId="1" type="noConversion"/>
  </si>
  <si>
    <t xml:space="preserve">  11.民间非营利组织</t>
    <phoneticPr fontId="1" type="noConversion"/>
  </si>
  <si>
    <t xml:space="preserve">  12.工会</t>
    <phoneticPr fontId="1" type="noConversion"/>
  </si>
  <si>
    <t xml:space="preserve">  13.新型农村合作医疗基金</t>
    <phoneticPr fontId="1" type="noConversion"/>
  </si>
  <si>
    <t xml:space="preserve">  14.村集体经济组织</t>
    <phoneticPr fontId="1" type="noConversion"/>
  </si>
  <si>
    <t xml:space="preserve">  15.农民专业合作社</t>
    <phoneticPr fontId="1" type="noConversion"/>
  </si>
  <si>
    <t xml:space="preserve">  22.财政专项资金审计</t>
    <phoneticPr fontId="1" type="noConversion"/>
  </si>
  <si>
    <t xml:space="preserve">  23.绩效评价专项审计</t>
    <phoneticPr fontId="1" type="noConversion"/>
  </si>
  <si>
    <t xml:space="preserve">  24.外国企业常驻代表机构经费支出专项审计</t>
    <phoneticPr fontId="1" type="noConversion"/>
  </si>
  <si>
    <t xml:space="preserve">  25.内控专项审计</t>
    <phoneticPr fontId="1" type="noConversion"/>
  </si>
  <si>
    <t xml:space="preserve">  26.基本建设工程财务竣工结算专项审计</t>
    <phoneticPr fontId="1" type="noConversion"/>
  </si>
  <si>
    <t xml:space="preserve">  30.企业所得税汇算清缴鉴证</t>
    <phoneticPr fontId="1" type="noConversion"/>
  </si>
  <si>
    <t xml:space="preserve">  31.企业财产损失税前扣除鉴证</t>
    <phoneticPr fontId="1" type="noConversion"/>
  </si>
  <si>
    <t>委托单位:</t>
    <phoneticPr fontId="1" type="noConversion"/>
  </si>
  <si>
    <t>客户行业类型:</t>
    <phoneticPr fontId="1" type="noConversion"/>
  </si>
  <si>
    <t>客户出资类型:</t>
    <phoneticPr fontId="1" type="noConversion"/>
  </si>
  <si>
    <t>注册资本币种:</t>
    <phoneticPr fontId="1" type="noConversion"/>
  </si>
  <si>
    <t>注册地址:</t>
    <phoneticPr fontId="1" type="noConversion"/>
  </si>
  <si>
    <t>企业法人:</t>
    <phoneticPr fontId="1" type="noConversion"/>
  </si>
  <si>
    <t>业务约定书号:</t>
    <phoneticPr fontId="1" type="noConversion"/>
  </si>
  <si>
    <t>项目名称:</t>
    <phoneticPr fontId="1" type="noConversion"/>
  </si>
  <si>
    <t>注师:</t>
    <phoneticPr fontId="1" type="noConversion"/>
  </si>
  <si>
    <t>收费种类:</t>
    <phoneticPr fontId="1" type="noConversion"/>
  </si>
  <si>
    <t>被审验单位:</t>
    <phoneticPr fontId="1" type="noConversion"/>
  </si>
  <si>
    <t>客户经济类型:</t>
    <phoneticPr fontId="1" type="noConversion"/>
  </si>
  <si>
    <t>是否上市企业:</t>
    <phoneticPr fontId="1" type="noConversion"/>
  </si>
  <si>
    <t>报告日期:</t>
    <phoneticPr fontId="1" type="noConversion"/>
  </si>
  <si>
    <t>约定业务费:</t>
    <phoneticPr fontId="1" type="noConversion"/>
  </si>
  <si>
    <t>合并户数：</t>
    <phoneticPr fontId="1" type="noConversion"/>
  </si>
  <si>
    <t>股票代码：</t>
    <phoneticPr fontId="1" type="noConversion"/>
  </si>
  <si>
    <t>是否连续审计：</t>
    <phoneticPr fontId="1" type="noConversion"/>
  </si>
  <si>
    <t>审计种类：</t>
    <phoneticPr fontId="1" type="noConversion"/>
  </si>
  <si>
    <t>前任事务所名称：</t>
    <phoneticPr fontId="1" type="noConversion"/>
  </si>
  <si>
    <t>控股上市公司数：</t>
    <phoneticPr fontId="1" type="noConversion"/>
  </si>
  <si>
    <t>审计客户类型：</t>
    <phoneticPr fontId="1" type="noConversion"/>
  </si>
  <si>
    <t>报表年度：</t>
    <phoneticPr fontId="1" type="noConversion"/>
  </si>
  <si>
    <t>报表季度：</t>
    <phoneticPr fontId="1" type="noConversion"/>
  </si>
  <si>
    <t>报表开始月份：</t>
    <phoneticPr fontId="1" type="noConversion"/>
  </si>
  <si>
    <t>报表结束月份：</t>
    <phoneticPr fontId="1" type="noConversion"/>
  </si>
  <si>
    <t>外资企业登记号(非内资企业必填-批准证书上的进出口企业代码):</t>
    <phoneticPr fontId="1" type="noConversion"/>
  </si>
  <si>
    <t>开发票对应报告文号:</t>
    <phoneticPr fontId="1" type="noConversion"/>
  </si>
  <si>
    <t>统一社会信用代码:</t>
    <phoneticPr fontId="1" type="noConversion"/>
  </si>
  <si>
    <t xml:space="preserve">  1.企业会计准则</t>
    <phoneticPr fontId="1" type="noConversion"/>
  </si>
  <si>
    <t xml:space="preserve">  2.企业会计制度</t>
    <phoneticPr fontId="1" type="noConversion"/>
  </si>
  <si>
    <t xml:space="preserve">  27.其他专项审计</t>
    <phoneticPr fontId="1" type="noConversion"/>
  </si>
  <si>
    <t xml:space="preserve">  32.其他鉴证业务</t>
    <phoneticPr fontId="1" type="noConversion"/>
  </si>
  <si>
    <t>1.报告测试编号</t>
    <phoneticPr fontId="1" type="noConversion"/>
  </si>
  <si>
    <t>2.报备成功之后，提示请点击连接，在测试版那边再测试一次</t>
    <phoneticPr fontId="1" type="noConversion"/>
  </si>
  <si>
    <t xml:space="preserve">  17.(任中、离任）经济责任审计</t>
    <phoneticPr fontId="1" type="noConversion"/>
  </si>
  <si>
    <t xml:space="preserve">  18.清产核资专项审计</t>
    <phoneticPr fontId="1" type="noConversion"/>
  </si>
  <si>
    <t xml:space="preserve">  19.清算审计</t>
    <phoneticPr fontId="1" type="noConversion"/>
  </si>
  <si>
    <t xml:space="preserve">  20.境内直接投资外方权益统计表审计</t>
    <phoneticPr fontId="1" type="noConversion"/>
  </si>
  <si>
    <t xml:space="preserve">  28.高新企业认定中研发费用专项审计</t>
    <phoneticPr fontId="1" type="noConversion"/>
  </si>
  <si>
    <t xml:space="preserve">  29.高新技术企业认定高新产品技术（服务）收入专项审计</t>
    <phoneticPr fontId="1" type="noConversion"/>
  </si>
  <si>
    <t>详细地址:</t>
    <phoneticPr fontId="1" type="noConversion"/>
  </si>
  <si>
    <t>鉴证项目（对象）名称:</t>
    <phoneticPr fontId="1" type="noConversion"/>
  </si>
  <si>
    <t>鉴证期间或鉴证截止日:</t>
    <phoneticPr fontId="1" type="noConversion"/>
  </si>
  <si>
    <t>鉴证收入金额:</t>
    <phoneticPr fontId="1" type="noConversion"/>
  </si>
  <si>
    <t>鉴证支出（费用）金额:</t>
    <phoneticPr fontId="1" type="noConversion"/>
  </si>
  <si>
    <t>鉴证利润金额:</t>
    <phoneticPr fontId="1" type="noConversion"/>
  </si>
  <si>
    <t>其他鉴证目标:</t>
    <phoneticPr fontId="1" type="noConversion"/>
  </si>
  <si>
    <t>鉴证净资产金额:</t>
    <phoneticPr fontId="1" type="noConversion"/>
  </si>
  <si>
    <t>其他鉴证目标金额:</t>
    <phoneticPr fontId="1" type="noConversion"/>
  </si>
  <si>
    <t>业务情况</t>
    <phoneticPr fontId="1" type="noConversion"/>
  </si>
  <si>
    <t>销售收入总额:</t>
    <phoneticPr fontId="1" type="noConversion"/>
  </si>
  <si>
    <t>内部研究开发投入额直接投入:</t>
    <phoneticPr fontId="1" type="noConversion"/>
  </si>
  <si>
    <t>内部研究开发投入额设计费:</t>
    <phoneticPr fontId="1" type="noConversion"/>
  </si>
  <si>
    <t>内部研究开发投入额无形资产摊销:</t>
    <phoneticPr fontId="1" type="noConversion"/>
  </si>
  <si>
    <t>委托外部研究开发投入额境内的外部研发投入额:</t>
    <phoneticPr fontId="1" type="noConversion"/>
  </si>
  <si>
    <t>委托外部研究开发投入额总额:</t>
    <phoneticPr fontId="1" type="noConversion"/>
  </si>
  <si>
    <t xml:space="preserve"> 内部研究开发投入额人员人工:</t>
    <phoneticPr fontId="1" type="noConversion"/>
  </si>
  <si>
    <t>内部研究开发投入额折旧费用与长期费用摊销:</t>
    <phoneticPr fontId="1" type="noConversion"/>
  </si>
  <si>
    <t>内部研究开发投入额设备调试费:</t>
    <phoneticPr fontId="1" type="noConversion"/>
  </si>
  <si>
    <t>内部研究开发投入额其他费用:</t>
    <phoneticPr fontId="1" type="noConversion"/>
  </si>
  <si>
    <t>委托外部研究开发投入额境外的外部研发投入额:</t>
    <phoneticPr fontId="1" type="noConversion"/>
  </si>
  <si>
    <t>境外的外部研发投入额:</t>
    <phoneticPr fontId="1" type="noConversion"/>
  </si>
  <si>
    <t>报表年度:</t>
    <phoneticPr fontId="1" type="noConversion"/>
  </si>
  <si>
    <t>无保留意见的强调事项:</t>
    <phoneticPr fontId="1" type="noConversion"/>
  </si>
  <si>
    <t>报告意见类型:</t>
    <phoneticPr fontId="1" type="noConversion"/>
  </si>
  <si>
    <t>保留意见内容:</t>
    <phoneticPr fontId="1" type="noConversion"/>
  </si>
  <si>
    <t>年份</t>
    <phoneticPr fontId="1" type="noConversion"/>
  </si>
  <si>
    <t>研发费用</t>
    <phoneticPr fontId="1" type="noConversion"/>
  </si>
  <si>
    <t>从人员（被审单位期末员工数）</t>
    <phoneticPr fontId="1" type="noConversion"/>
  </si>
  <si>
    <t>合计：</t>
    <phoneticPr fontId="1" type="noConversion"/>
  </si>
  <si>
    <t>最后一年调整资产总额：</t>
    <phoneticPr fontId="1" type="noConversion"/>
  </si>
  <si>
    <t>是否需要调整：</t>
    <phoneticPr fontId="1" type="noConversion"/>
  </si>
  <si>
    <t>最后一年调整营业收入：</t>
    <phoneticPr fontId="1" type="noConversion"/>
  </si>
  <si>
    <t>审计年数：</t>
    <phoneticPr fontId="1" type="noConversion"/>
  </si>
  <si>
    <t>第一年</t>
    <phoneticPr fontId="1" type="noConversion"/>
  </si>
  <si>
    <t>第二年</t>
    <phoneticPr fontId="1" type="noConversion"/>
  </si>
  <si>
    <t>第三年</t>
    <phoneticPr fontId="1" type="noConversion"/>
  </si>
  <si>
    <t>第四年</t>
    <phoneticPr fontId="1" type="noConversion"/>
  </si>
  <si>
    <t>第五年</t>
    <phoneticPr fontId="1" type="noConversion"/>
  </si>
  <si>
    <t>报表开始月份：</t>
    <phoneticPr fontId="1" type="noConversion"/>
  </si>
  <si>
    <t>审计意见类型</t>
    <phoneticPr fontId="1" type="noConversion"/>
  </si>
  <si>
    <t>无保留意见的强调事项</t>
    <phoneticPr fontId="1" type="noConversion"/>
  </si>
  <si>
    <t>财务报表审计</t>
    <phoneticPr fontId="1" type="noConversion"/>
  </si>
  <si>
    <t xml:space="preserve">  1.企业会计准则</t>
    <phoneticPr fontId="1" type="noConversion"/>
  </si>
  <si>
    <t xml:space="preserve">  2.企业会计制度</t>
    <phoneticPr fontId="1" type="noConversion"/>
  </si>
  <si>
    <t xml:space="preserve">  3.小企业</t>
    <phoneticPr fontId="1" type="noConversion"/>
  </si>
  <si>
    <t xml:space="preserve">  4.事业单位</t>
    <phoneticPr fontId="1" type="noConversion"/>
  </si>
  <si>
    <t xml:space="preserve">  5.医院</t>
    <phoneticPr fontId="1" type="noConversion"/>
  </si>
  <si>
    <t xml:space="preserve">  6.基层医疗卫生机构</t>
    <phoneticPr fontId="1" type="noConversion"/>
  </si>
  <si>
    <t xml:space="preserve">  7.科学事业单位</t>
    <phoneticPr fontId="1" type="noConversion"/>
  </si>
  <si>
    <t xml:space="preserve">  8.高校</t>
    <phoneticPr fontId="1" type="noConversion"/>
  </si>
  <si>
    <t xml:space="preserve">  9.中小学</t>
    <phoneticPr fontId="1" type="noConversion"/>
  </si>
  <si>
    <t xml:space="preserve">  10.彩票机构</t>
    <phoneticPr fontId="1" type="noConversion"/>
  </si>
  <si>
    <t xml:space="preserve">  11.民间非营利组织</t>
    <phoneticPr fontId="1" type="noConversion"/>
  </si>
  <si>
    <t xml:space="preserve">  12.工会</t>
    <phoneticPr fontId="1" type="noConversion"/>
  </si>
  <si>
    <t xml:space="preserve">  13.新型农村合作医疗基金</t>
    <phoneticPr fontId="1" type="noConversion"/>
  </si>
  <si>
    <t xml:space="preserve">  14.村集体经济组织</t>
    <phoneticPr fontId="1" type="noConversion"/>
  </si>
  <si>
    <t xml:space="preserve">  15.农民专业合作社</t>
    <phoneticPr fontId="1" type="noConversion"/>
  </si>
  <si>
    <t>验资</t>
    <phoneticPr fontId="1" type="noConversion"/>
  </si>
  <si>
    <t>专项审计</t>
    <phoneticPr fontId="1" type="noConversion"/>
  </si>
  <si>
    <t>审计客户类型：</t>
    <phoneticPr fontId="1" type="noConversion"/>
  </si>
  <si>
    <t>合并户数：</t>
    <phoneticPr fontId="1" type="noConversion"/>
  </si>
  <si>
    <t>无保留意见的强调事项：</t>
    <phoneticPr fontId="1" type="noConversion"/>
  </si>
  <si>
    <t>—</t>
    <phoneticPr fontId="1" type="noConversion"/>
  </si>
  <si>
    <t>请选择</t>
    <phoneticPr fontId="1" type="noConversion"/>
  </si>
  <si>
    <r>
      <t>资</t>
    </r>
    <r>
      <rPr>
        <b/>
        <sz val="22"/>
        <rFont val="Times New Roman"/>
        <family val="1"/>
      </rPr>
      <t xml:space="preserve">  </t>
    </r>
    <r>
      <rPr>
        <b/>
        <sz val="22"/>
        <rFont val="宋体"/>
        <charset val="134"/>
      </rPr>
      <t>产</t>
    </r>
    <r>
      <rPr>
        <b/>
        <sz val="22"/>
        <rFont val="Times New Roman"/>
        <family val="1"/>
      </rPr>
      <t xml:space="preserve">  </t>
    </r>
    <r>
      <rPr>
        <b/>
        <sz val="22"/>
        <rFont val="宋体"/>
        <charset val="134"/>
      </rPr>
      <t>负</t>
    </r>
    <r>
      <rPr>
        <b/>
        <sz val="22"/>
        <rFont val="Times New Roman"/>
        <family val="1"/>
      </rPr>
      <t xml:space="preserve">  </t>
    </r>
    <r>
      <rPr>
        <b/>
        <sz val="22"/>
        <rFont val="宋体"/>
        <charset val="134"/>
      </rPr>
      <t>债</t>
    </r>
    <r>
      <rPr>
        <b/>
        <sz val="22"/>
        <rFont val="Times New Roman"/>
        <family val="1"/>
      </rPr>
      <t xml:space="preserve">  </t>
    </r>
    <r>
      <rPr>
        <b/>
        <sz val="22"/>
        <rFont val="宋体"/>
        <charset val="134"/>
      </rPr>
      <t>表</t>
    </r>
    <phoneticPr fontId="3" type="noConversion"/>
  </si>
  <si>
    <t>货币单位：人民币元</t>
    <phoneticPr fontId="1" type="noConversion"/>
  </si>
  <si>
    <t>收入支出总表</t>
    <phoneticPr fontId="3" type="noConversion"/>
  </si>
  <si>
    <t xml:space="preserve">年 </t>
    <phoneticPr fontId="3" type="noConversion"/>
  </si>
  <si>
    <t>编制单位：</t>
    <phoneticPr fontId="3" type="noConversion"/>
  </si>
  <si>
    <t>请选择</t>
    <phoneticPr fontId="1" type="noConversion"/>
  </si>
  <si>
    <t>请选择</t>
    <phoneticPr fontId="1" type="noConversion"/>
  </si>
  <si>
    <t xml:space="preserve">  △收到原保险合同保费取得的现金</t>
    <phoneticPr fontId="3" type="noConversion"/>
  </si>
  <si>
    <t xml:space="preserve">  △保户储金及投资款净增加额</t>
    <phoneticPr fontId="3" type="noConversion"/>
  </si>
  <si>
    <t xml:space="preserve">  △向中央银行借款净增加额</t>
    <phoneticPr fontId="3" type="noConversion"/>
  </si>
  <si>
    <t xml:space="preserve">  △客户存款和同业存放款项净增加额</t>
    <phoneticPr fontId="3" type="noConversion"/>
  </si>
  <si>
    <t xml:space="preserve">  △收到再保险业务现金净额</t>
    <phoneticPr fontId="3" type="noConversion"/>
  </si>
  <si>
    <t xml:space="preserve">  △处置交易性金融资产净增加额</t>
    <phoneticPr fontId="3" type="noConversion"/>
  </si>
  <si>
    <t>——</t>
    <phoneticPr fontId="3" type="noConversion"/>
  </si>
  <si>
    <t>请选择</t>
    <phoneticPr fontId="1" type="noConversion"/>
  </si>
  <si>
    <t xml:space="preserve">  一年内到期的长期负债</t>
    <phoneticPr fontId="1" type="noConversion"/>
  </si>
  <si>
    <t>收费依据:</t>
    <phoneticPr fontId="1" type="noConversion"/>
  </si>
  <si>
    <t>请选择</t>
    <phoneticPr fontId="1" type="noConversion"/>
  </si>
  <si>
    <t>项目基准日:</t>
    <phoneticPr fontId="1" type="noConversion"/>
  </si>
  <si>
    <t>调整前负债总额:</t>
    <phoneticPr fontId="1" type="noConversion"/>
  </si>
  <si>
    <t>调整后资产总额:</t>
    <phoneticPr fontId="1" type="noConversion"/>
  </si>
  <si>
    <t>调整后净资产总额:</t>
    <phoneticPr fontId="1" type="noConversion"/>
  </si>
  <si>
    <t>调整前资产总额:</t>
    <phoneticPr fontId="1" type="noConversion"/>
  </si>
  <si>
    <t>调整前净资产总额:</t>
    <phoneticPr fontId="1" type="noConversion"/>
  </si>
  <si>
    <t>调整后负债总额:</t>
    <phoneticPr fontId="1" type="noConversion"/>
  </si>
  <si>
    <t>被审计经济责任人:</t>
    <phoneticPr fontId="1" type="noConversion"/>
  </si>
  <si>
    <t>是否发现重大经济责任问题:</t>
    <phoneticPr fontId="1" type="noConversion"/>
  </si>
  <si>
    <t>任职期末净资产:</t>
    <phoneticPr fontId="1" type="noConversion"/>
  </si>
  <si>
    <t>审计期间:</t>
    <phoneticPr fontId="1" type="noConversion"/>
  </si>
  <si>
    <t>任职期初净资产:</t>
    <phoneticPr fontId="1" type="noConversion"/>
  </si>
  <si>
    <t>净资产增长率:</t>
    <phoneticPr fontId="1" type="noConversion"/>
  </si>
  <si>
    <t>请选择类别：</t>
    <phoneticPr fontId="1" type="noConversion"/>
  </si>
  <si>
    <t xml:space="preserve">  17.任中经济责任审计</t>
    <phoneticPr fontId="1" type="noConversion"/>
  </si>
  <si>
    <t xml:space="preserve">  18.离任经济责任审计</t>
    <phoneticPr fontId="1" type="noConversion"/>
  </si>
  <si>
    <t xml:space="preserve">  19.清产核资专项审计</t>
    <phoneticPr fontId="1" type="noConversion"/>
  </si>
  <si>
    <t xml:space="preserve">  20.清算审计</t>
    <phoneticPr fontId="1" type="noConversion"/>
  </si>
  <si>
    <t xml:space="preserve">  22.财政专项资金审计</t>
    <phoneticPr fontId="1" type="noConversion"/>
  </si>
  <si>
    <t xml:space="preserve">  23.绩效评价专项审计</t>
    <phoneticPr fontId="1" type="noConversion"/>
  </si>
  <si>
    <t xml:space="preserve">  24.外国企业常驻代表机构经费支出专项审计</t>
    <phoneticPr fontId="1" type="noConversion"/>
  </si>
  <si>
    <t xml:space="preserve">  25.内控专项审计</t>
    <phoneticPr fontId="1" type="noConversion"/>
  </si>
  <si>
    <t xml:space="preserve">  27.其他专项审计</t>
    <phoneticPr fontId="1" type="noConversion"/>
  </si>
  <si>
    <t xml:space="preserve">  28.高新企业认定研发费用专项审计</t>
    <phoneticPr fontId="1" type="noConversion"/>
  </si>
  <si>
    <t xml:space="preserve">  29.高新企业认定技术（服务）收入专项审计</t>
    <phoneticPr fontId="1" type="noConversion"/>
  </si>
  <si>
    <t>版本号</t>
    <phoneticPr fontId="1" type="noConversion"/>
  </si>
  <si>
    <t>请选择</t>
    <phoneticPr fontId="1" type="noConversion"/>
  </si>
  <si>
    <t>资本变化金额</t>
    <phoneticPr fontId="1" type="noConversion"/>
  </si>
  <si>
    <t>货币资本变化金额</t>
    <phoneticPr fontId="1" type="noConversion"/>
  </si>
  <si>
    <t>非货币资本变化金额</t>
    <phoneticPr fontId="1" type="noConversion"/>
  </si>
  <si>
    <t>损失税前扣除金额:</t>
    <phoneticPr fontId="1" type="noConversion"/>
  </si>
  <si>
    <t>派驻期限:</t>
  </si>
  <si>
    <t>经费支出总额:</t>
  </si>
  <si>
    <t>派驻机构:</t>
  </si>
  <si>
    <t>被审计期间:</t>
  </si>
  <si>
    <t>常驻代表:</t>
  </si>
  <si>
    <t>税费支出总额:</t>
  </si>
  <si>
    <t>注册资本(万元):</t>
    <phoneticPr fontId="1" type="noConversion"/>
  </si>
  <si>
    <t xml:space="preserve">          其中：对联营企业和合营企业的投资收益</t>
    <phoneticPr fontId="1" type="noConversion"/>
  </si>
  <si>
    <t>报告文号:</t>
    <phoneticPr fontId="1" type="noConversion"/>
  </si>
  <si>
    <t>请选择</t>
    <phoneticPr fontId="1" type="noConversion"/>
  </si>
  <si>
    <t>签约日期:</t>
    <phoneticPr fontId="1" type="noConversion"/>
  </si>
  <si>
    <t>清算结束日资产总额</t>
    <phoneticPr fontId="1" type="noConversion"/>
  </si>
  <si>
    <t>1980年</t>
  </si>
  <si>
    <t>1981年</t>
  </si>
  <si>
    <t>1982年</t>
  </si>
  <si>
    <t>1983年</t>
  </si>
  <si>
    <t>1984年</t>
  </si>
  <si>
    <t>1985年</t>
  </si>
  <si>
    <t>1986年</t>
  </si>
  <si>
    <t>1987年</t>
  </si>
  <si>
    <t>1988年</t>
  </si>
  <si>
    <t>1989年</t>
  </si>
  <si>
    <t>1990年</t>
  </si>
  <si>
    <t>1991年</t>
  </si>
  <si>
    <t>1992年</t>
  </si>
  <si>
    <t>1993年</t>
  </si>
  <si>
    <t>1994年</t>
  </si>
  <si>
    <t>1995年</t>
  </si>
  <si>
    <t>1996年</t>
  </si>
  <si>
    <t>1997年</t>
  </si>
  <si>
    <t>1998年</t>
  </si>
  <si>
    <t>1999年</t>
  </si>
  <si>
    <t>2000年</t>
  </si>
  <si>
    <t>2001年</t>
  </si>
  <si>
    <t>2002年</t>
  </si>
  <si>
    <t>2003年</t>
  </si>
  <si>
    <t>2004年</t>
  </si>
  <si>
    <t>2005年</t>
  </si>
  <si>
    <t>2006年</t>
  </si>
  <si>
    <t>2007年</t>
  </si>
  <si>
    <t>2008年</t>
  </si>
  <si>
    <t>2009年</t>
  </si>
  <si>
    <t>2010年</t>
  </si>
  <si>
    <t>2011年</t>
  </si>
  <si>
    <t>2012年</t>
  </si>
  <si>
    <t>2013年</t>
  </si>
  <si>
    <t>2014年</t>
  </si>
  <si>
    <t>2015年</t>
  </si>
  <si>
    <t>2016年</t>
  </si>
  <si>
    <t>2017年</t>
  </si>
  <si>
    <t>2018年</t>
  </si>
  <si>
    <t>2019年</t>
  </si>
  <si>
    <t>2020年</t>
  </si>
  <si>
    <t>2021年</t>
  </si>
  <si>
    <t>2022年</t>
  </si>
  <si>
    <t>2023年</t>
  </si>
  <si>
    <t>2024年</t>
  </si>
  <si>
    <t>2025年</t>
  </si>
  <si>
    <t>2026年</t>
  </si>
  <si>
    <t>2027年</t>
  </si>
  <si>
    <t>2028年</t>
  </si>
  <si>
    <t>2029年</t>
  </si>
  <si>
    <t>2030年</t>
  </si>
  <si>
    <t>编制单位：</t>
    <phoneticPr fontId="1" type="noConversion"/>
  </si>
  <si>
    <t xml:space="preserve">  26.基本建设工程(预算、结算、决算)审核</t>
    <phoneticPr fontId="1" type="noConversion"/>
  </si>
  <si>
    <t>是否有招投标：</t>
    <phoneticPr fontId="1" type="noConversion"/>
  </si>
  <si>
    <t>工期：</t>
    <phoneticPr fontId="1" type="noConversion"/>
  </si>
  <si>
    <t>项目总投资：</t>
    <phoneticPr fontId="1" type="noConversion"/>
  </si>
  <si>
    <t>项目概算：</t>
    <phoneticPr fontId="1" type="noConversion"/>
  </si>
  <si>
    <t>资金总投入：</t>
    <phoneticPr fontId="1" type="noConversion"/>
  </si>
  <si>
    <t>报告年度:</t>
    <phoneticPr fontId="1" type="noConversion"/>
  </si>
  <si>
    <t>审核类型：</t>
    <phoneticPr fontId="1" type="noConversion"/>
  </si>
  <si>
    <t>请选择</t>
    <phoneticPr fontId="1" type="noConversion"/>
  </si>
  <si>
    <t xml:space="preserve">集体法人资本    </t>
    <phoneticPr fontId="3" type="noConversion"/>
  </si>
  <si>
    <t xml:space="preserve">  21.直接投资存量登记专项审计报告（原外汇年检）</t>
    <phoneticPr fontId="1" type="noConversion"/>
  </si>
  <si>
    <t/>
  </si>
  <si>
    <t>请选择</t>
    <phoneticPr fontId="1" type="noConversion"/>
  </si>
  <si>
    <t>鉴证</t>
    <phoneticPr fontId="1" type="noConversion"/>
  </si>
  <si>
    <t xml:space="preserve">  30.企业财产损失税前扣除鉴证</t>
    <phoneticPr fontId="1" type="noConversion"/>
  </si>
  <si>
    <t xml:space="preserve">  31.其他鉴证业务</t>
    <phoneticPr fontId="1" type="noConversion"/>
  </si>
  <si>
    <t>咨询</t>
    <phoneticPr fontId="1" type="noConversion"/>
  </si>
  <si>
    <t xml:space="preserve">  32.企业所得税汇算清缴</t>
    <phoneticPr fontId="1" type="noConversion"/>
  </si>
  <si>
    <t>序号</t>
    <phoneticPr fontId="1" type="noConversion"/>
  </si>
  <si>
    <t>职位</t>
    <phoneticPr fontId="1" type="noConversion"/>
  </si>
  <si>
    <t>人数</t>
    <phoneticPr fontId="1" type="noConversion"/>
  </si>
  <si>
    <t>合计工时(小时)</t>
    <phoneticPr fontId="1" type="noConversion"/>
  </si>
  <si>
    <t>初级审计助理</t>
    <phoneticPr fontId="1" type="noConversion"/>
  </si>
  <si>
    <t>中级审计助理</t>
    <phoneticPr fontId="1" type="noConversion"/>
  </si>
  <si>
    <t>项目经理</t>
    <phoneticPr fontId="1" type="noConversion"/>
  </si>
  <si>
    <t>部门经理</t>
    <phoneticPr fontId="1" type="noConversion"/>
  </si>
  <si>
    <t>项目合伙人</t>
    <phoneticPr fontId="1" type="noConversion"/>
  </si>
  <si>
    <t xml:space="preserve"> 注：项目经理或者部门经理必须有一人，项目合伙人必须有。</t>
    <phoneticPr fontId="1" type="noConversion"/>
  </si>
  <si>
    <t>计时收费明细</t>
    <phoneticPr fontId="1" type="noConversion"/>
  </si>
  <si>
    <t>高级审计助理</t>
    <phoneticPr fontId="1" type="noConversion"/>
  </si>
  <si>
    <t>业务情况</t>
    <phoneticPr fontId="1" type="noConversion"/>
  </si>
  <si>
    <t>外方投资者实际出资金额</t>
    <phoneticPr fontId="3" type="noConversion"/>
  </si>
  <si>
    <t>应付外方股利</t>
    <phoneticPr fontId="3" type="noConversion"/>
  </si>
  <si>
    <t>归属于外方股东的权益</t>
    <phoneticPr fontId="1" type="noConversion"/>
  </si>
  <si>
    <t>归属于外方股东的实收资本</t>
    <phoneticPr fontId="1" type="noConversion"/>
  </si>
  <si>
    <t>少数股东权益</t>
    <phoneticPr fontId="1" type="noConversion"/>
  </si>
  <si>
    <t>归属于外商投资企业全体股东的净利润</t>
    <phoneticPr fontId="1" type="noConversion"/>
  </si>
  <si>
    <t>负债合计</t>
    <phoneticPr fontId="1" type="noConversion"/>
  </si>
  <si>
    <t>资产合计</t>
    <phoneticPr fontId="1" type="noConversion"/>
  </si>
  <si>
    <t>评价结果</t>
    <phoneticPr fontId="1" type="noConversion"/>
  </si>
  <si>
    <t>报表年度：</t>
    <phoneticPr fontId="1" type="noConversion"/>
  </si>
  <si>
    <t>高新技术产品(服务)收入：</t>
    <phoneticPr fontId="1" type="noConversion"/>
  </si>
  <si>
    <t>请选择</t>
    <phoneticPr fontId="1" type="noConversion"/>
  </si>
  <si>
    <t>请选择</t>
    <phoneticPr fontId="1" type="noConversion"/>
  </si>
  <si>
    <t>—</t>
    <phoneticPr fontId="1" type="noConversion"/>
  </si>
  <si>
    <t>A20180507231700</t>
    <phoneticPr fontId="1" type="noConversion"/>
  </si>
  <si>
    <t>内资企业</t>
  </si>
  <si>
    <t>有限责任公司</t>
  </si>
  <si>
    <t>非上市企业</t>
  </si>
  <si>
    <t>其他</t>
  </si>
  <si>
    <t>人民币</t>
  </si>
  <si>
    <t>其它公司</t>
  </si>
  <si>
    <t>年度</t>
  </si>
  <si>
    <t>一月</t>
  </si>
  <si>
    <t>十二月</t>
  </si>
  <si>
    <t>无保留意见</t>
  </si>
  <si>
    <t>本报告收费</t>
  </si>
  <si>
    <t>计件收费</t>
  </si>
  <si>
    <t xml:space="preserve">  1.企业会计准则</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</si>
</sst>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 #,##0_ ;_ * \-#,##0_ ;_ * &quot;-&quot;_ ;_ @_ "/>
    <numFmt numFmtId="43" formatCode="_ * #,##0.00_ ;_ * \-#,##0.00_ ;_ * &quot;-&quot;??_ ;_ @_ "/>
    <numFmt numFmtId="176" formatCode="0.00_ "/>
    <numFmt numFmtId="177" formatCode="0_);[Red]\(0\)"/>
    <numFmt numFmtId="178" formatCode="0.0_ "/>
    <numFmt numFmtId="179" formatCode="#,##0.00_ "/>
    <numFmt numFmtId="180" formatCode="0.00_);[Red]\(0.00\)"/>
    <numFmt numFmtId="181" formatCode="#,##0.0000;\-#,##0.0000"/>
    <numFmt numFmtId="182" formatCode="yyyy\-mm\-dd"/>
    <numFmt numFmtId="183" formatCode="0_ "/>
    <numFmt numFmtId="184" formatCode="yyyy\-mm\-dd;@"/>
  </numFmts>
  <fonts count="65">
    <font>
      <sz val="11"/>
      <color theme="1"/>
      <name val="宋体"/>
      <charset val="134"/>
      <scheme val="minor"/>
    </font>
    <font>
      <sz val="9"/>
      <name val="宋体"/>
      <charset val="134"/>
    </font>
    <font>
      <sz val="12"/>
      <name val="宋体"/>
      <charset val="134"/>
    </font>
    <font>
      <sz val="9"/>
      <name val="宋体"/>
      <charset val="134"/>
    </font>
    <font>
      <sz val="9"/>
      <name val="宋体"/>
      <charset val="134"/>
    </font>
    <font>
      <sz val="10"/>
      <name val="Arial"/>
      <family val="2"/>
    </font>
    <font>
      <sz val="10"/>
      <name val="Courier"/>
      <family val="3"/>
    </font>
    <font>
      <sz val="10"/>
      <name val="宋体"/>
      <charset val="134"/>
    </font>
    <font>
      <b/>
      <sz val="10"/>
      <name val="Times New Roman"/>
      <family val="1"/>
    </font>
    <font>
      <b/>
      <sz val="10"/>
      <name val="宋体"/>
      <charset val="134"/>
    </font>
    <font>
      <sz val="10"/>
      <name val="Times New Roman"/>
      <family val="1"/>
    </font>
    <font>
      <sz val="12"/>
      <name val="Times New Roman"/>
      <family val="1"/>
    </font>
    <font>
      <sz val="10"/>
      <name val="MS Sans Serif"/>
      <family val="2"/>
    </font>
    <font>
      <sz val="12"/>
      <name val="宋体"/>
      <charset val="134"/>
    </font>
    <font>
      <b/>
      <sz val="12"/>
      <name val="宋体"/>
      <charset val="134"/>
    </font>
    <font>
      <sz val="9"/>
      <name val="宋体"/>
      <charset val="134"/>
    </font>
    <font>
      <sz val="9"/>
      <name val="LiSu"/>
      <family val="3"/>
      <charset val="134"/>
    </font>
    <font>
      <sz val="10"/>
      <color indexed="8"/>
      <name val="Times New Roman"/>
      <family val="1"/>
    </font>
    <font>
      <sz val="10"/>
      <color indexed="8"/>
      <name val="宋体"/>
      <charset val="134"/>
    </font>
    <font>
      <b/>
      <sz val="10"/>
      <color indexed="8"/>
      <name val="宋体"/>
      <charset val="134"/>
    </font>
    <font>
      <b/>
      <sz val="9"/>
      <name val="宋体"/>
      <charset val="134"/>
    </font>
    <font>
      <sz val="12"/>
      <color indexed="10"/>
      <name val="宋体"/>
      <charset val="134"/>
    </font>
    <font>
      <sz val="11"/>
      <name val="Times New Roman"/>
      <family val="1"/>
    </font>
    <font>
      <sz val="9"/>
      <name val="LiSu"/>
      <family val="3"/>
      <charset val="134"/>
    </font>
    <font>
      <sz val="10"/>
      <color indexed="10"/>
      <name val="宋体"/>
      <charset val="134"/>
    </font>
    <font>
      <b/>
      <sz val="22"/>
      <name val="宋体"/>
      <charset val="134"/>
    </font>
    <font>
      <b/>
      <sz val="22"/>
      <name val="Times New Roman"/>
      <family val="1"/>
    </font>
    <font>
      <sz val="9"/>
      <name val="宋体"/>
      <charset val="134"/>
    </font>
    <font>
      <sz val="11"/>
      <color theme="1"/>
      <name val="宋体"/>
      <charset val="134"/>
      <scheme val="minor"/>
    </font>
    <font>
      <sz val="12"/>
      <name val="宋体"/>
      <charset val="134"/>
      <scheme val="minor"/>
    </font>
    <font>
      <sz val="10"/>
      <name val="宋体"/>
      <charset val="134"/>
      <scheme val="minor"/>
    </font>
    <font>
      <b/>
      <sz val="10"/>
      <name val="宋体"/>
      <charset val="134"/>
      <scheme val="minor"/>
    </font>
    <font>
      <sz val="9"/>
      <name val="宋体"/>
      <charset val="134"/>
      <scheme val="minor"/>
    </font>
    <font>
      <sz val="10"/>
      <color indexed="8"/>
      <name val="宋体"/>
      <charset val="134"/>
      <scheme val="minor"/>
    </font>
    <font>
      <b/>
      <sz val="10"/>
      <color indexed="8"/>
      <name val="宋体"/>
      <charset val="134"/>
      <scheme val="minor"/>
    </font>
    <font>
      <b/>
      <sz val="10"/>
      <color theme="1"/>
      <name val="宋体"/>
      <charset val="134"/>
      <scheme val="minor"/>
    </font>
    <font>
      <sz val="9"/>
      <color theme="1"/>
      <name val="宋体"/>
      <charset val="134"/>
      <scheme val="minor"/>
    </font>
    <font>
      <b/>
      <sz val="12"/>
      <color theme="1"/>
      <name val="宋体"/>
      <charset val="134"/>
      <scheme val="minor"/>
    </font>
    <font>
      <sz val="10"/>
      <color theme="1"/>
      <name val="宋体"/>
      <charset val="134"/>
      <scheme val="minor"/>
    </font>
    <font>
      <sz val="10"/>
      <color theme="1"/>
      <name val="Times New Roman"/>
      <family val="1"/>
    </font>
    <font>
      <b/>
      <sz val="10"/>
      <color theme="1"/>
      <name val="Times New Roman"/>
      <family val="1"/>
    </font>
    <font>
      <b/>
      <sz val="10"/>
      <color theme="1"/>
      <name val="宋体"/>
      <charset val="134"/>
    </font>
    <font>
      <sz val="10"/>
      <color theme="1"/>
      <name val="宋体"/>
      <charset val="134"/>
    </font>
    <font>
      <b/>
      <sz val="9"/>
      <color theme="1"/>
      <name val="宋体"/>
      <charset val="134"/>
      <scheme val="minor"/>
    </font>
    <font>
      <b/>
      <sz val="10"/>
      <color indexed="12"/>
      <name val="宋体"/>
      <charset val="134"/>
      <scheme val="minor"/>
    </font>
    <font>
      <sz val="22"/>
      <name val="宋体"/>
      <charset val="134"/>
      <scheme val="minor"/>
    </font>
    <font>
      <b/>
      <sz val="22"/>
      <name val="宋体"/>
      <charset val="134"/>
      <scheme val="major"/>
    </font>
    <font>
      <sz val="22"/>
      <color theme="1"/>
      <name val="宋体"/>
      <charset val="134"/>
      <scheme val="minor"/>
    </font>
    <font>
      <b/>
      <sz val="22"/>
      <color theme="1"/>
      <name val="宋体"/>
      <charset val="134"/>
      <scheme val="minor"/>
    </font>
    <font>
      <sz val="22"/>
      <color theme="1"/>
      <name val="宋体"/>
      <charset val="134"/>
      <scheme val="major"/>
    </font>
    <font>
      <sz val="10"/>
      <color indexed="10"/>
      <name val="宋体"/>
      <charset val="134"/>
      <scheme val="minor"/>
    </font>
    <font>
      <b/>
      <sz val="50"/>
      <color theme="1"/>
      <name val="宋体"/>
      <charset val="134"/>
      <scheme val="minor"/>
    </font>
    <font>
      <sz val="20"/>
      <color theme="1"/>
      <name val="宋体"/>
      <charset val="134"/>
      <scheme val="minor"/>
    </font>
    <font>
      <b/>
      <sz val="20"/>
      <color theme="1"/>
      <name val="宋体"/>
      <charset val="134"/>
      <scheme val="minor"/>
    </font>
    <font>
      <b/>
      <sz val="11"/>
      <color theme="1"/>
      <name val="宋体"/>
      <charset val="134"/>
      <scheme val="minor"/>
    </font>
    <font>
      <sz val="10"/>
      <color theme="1"/>
      <name val="宋体"/>
      <charset val="134"/>
      <scheme val="major"/>
    </font>
    <font>
      <sz val="10"/>
      <color theme="1"/>
      <name val="Arial"/>
      <family val="2"/>
    </font>
    <font>
      <sz val="10"/>
      <color rgb="FFFF0000"/>
      <name val="宋体"/>
      <charset val="134"/>
      <scheme val="minor"/>
    </font>
    <font>
      <b/>
      <sz val="22"/>
      <color indexed="8"/>
      <name val="宋体"/>
      <charset val="134"/>
      <scheme val="major"/>
    </font>
    <font>
      <b/>
      <sz val="22"/>
      <color theme="1"/>
      <name val="宋体"/>
      <charset val="134"/>
      <scheme val="major"/>
    </font>
    <font>
      <b/>
      <sz val="22"/>
      <name val="宋体"/>
      <charset val="134"/>
      <scheme val="minor"/>
    </font>
    <font>
      <b/>
      <sz val="22"/>
      <color indexed="8"/>
      <name val="宋体"/>
      <charset val="134"/>
      <scheme val="minor"/>
    </font>
    <font>
      <sz val="10"/>
      <name val="宋体"/>
      <family val="3"/>
      <charset val="134"/>
      <scheme val="minor"/>
    </font>
    <font>
      <b/>
      <sz val="10"/>
      <name val="宋体"/>
      <family val="3"/>
      <charset val="134"/>
      <scheme val="minor"/>
    </font>
    <font>
      <sz val="10"/>
      <color theme="1"/>
      <name val="宋体"/>
      <family val="3"/>
      <charset val="134"/>
      <scheme val="minor"/>
    </font>
  </fonts>
  <fills count="7">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F0"/>
        <bgColor indexed="64"/>
      </patternFill>
    </fill>
  </fills>
  <borders count="30">
    <border>
      <left/>
      <right/>
      <top/>
      <bottom/>
      <diagonal/>
    </border>
    <border>
      <left/>
      <right/>
      <top/>
      <bottom style="medium">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double">
        <color indexed="64"/>
      </left>
      <right style="thin">
        <color indexed="64"/>
      </right>
      <top style="thin">
        <color indexed="64"/>
      </top>
      <bottom style="thin">
        <color indexed="64"/>
      </bottom>
      <diagonal/>
    </border>
    <border>
      <left style="thin">
        <color indexed="8"/>
      </left>
      <right/>
      <top/>
      <bottom style="thin">
        <color indexed="8"/>
      </bottom>
      <diagonal/>
    </border>
    <border>
      <left/>
      <right/>
      <top/>
      <bottom style="medium">
        <color indexed="64"/>
      </bottom>
      <diagonal/>
    </border>
    <border>
      <left/>
      <right style="thin">
        <color indexed="64"/>
      </right>
      <top style="thin">
        <color indexed="64"/>
      </top>
      <bottom style="medium">
        <color indexed="64"/>
      </bottom>
      <diagonal/>
    </border>
    <border>
      <left/>
      <right/>
      <top/>
      <bottom style="thin">
        <color indexed="64"/>
      </bottom>
      <diagonal/>
    </border>
    <border>
      <left style="thin">
        <color indexed="8"/>
      </left>
      <right/>
      <top style="thin">
        <color indexed="8"/>
      </top>
      <bottom style="thin">
        <color indexed="8"/>
      </bottom>
      <diagonal/>
    </border>
    <border>
      <left/>
      <right style="thin">
        <color indexed="64"/>
      </right>
      <top style="thin">
        <color indexed="64"/>
      </top>
      <bottom/>
      <diagonal/>
    </border>
    <border>
      <left style="thin">
        <color indexed="64"/>
      </left>
      <right/>
      <top/>
      <bottom style="thin">
        <color indexed="64"/>
      </bottom>
      <diagonal/>
    </border>
  </borders>
  <cellStyleXfs count="15">
    <xf numFmtId="0" fontId="0" fillId="0" borderId="0">
      <alignment vertical="center"/>
    </xf>
    <xf numFmtId="0" fontId="2" fillId="0" borderId="0"/>
    <xf numFmtId="0" fontId="2" fillId="0" borderId="0"/>
    <xf numFmtId="0" fontId="28" fillId="0" borderId="0"/>
    <xf numFmtId="0" fontId="2" fillId="0" borderId="0"/>
    <xf numFmtId="0" fontId="11" fillId="0" borderId="0"/>
    <xf numFmtId="0" fontId="11" fillId="0" borderId="0"/>
    <xf numFmtId="0" fontId="13" fillId="0" borderId="0"/>
    <xf numFmtId="0" fontId="2" fillId="0" borderId="0"/>
    <xf numFmtId="0" fontId="5" fillId="0" borderId="0"/>
    <xf numFmtId="43" fontId="28" fillId="0" borderId="0" applyFont="0" applyFill="0" applyBorder="0" applyAlignment="0" applyProtection="0">
      <alignment vertical="center"/>
    </xf>
    <xf numFmtId="41" fontId="2" fillId="0" borderId="0" applyFont="0" applyFill="0" applyBorder="0" applyAlignment="0" applyProtection="0"/>
    <xf numFmtId="43" fontId="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cellStyleXfs>
  <cellXfs count="772">
    <xf numFmtId="0" fontId="0" fillId="0" borderId="0" xfId="0">
      <alignment vertical="center"/>
    </xf>
    <xf numFmtId="0" fontId="29" fillId="0" borderId="0" xfId="1" applyFont="1" applyFill="1" applyAlignment="1">
      <alignment horizontal="right" vertical="center"/>
    </xf>
    <xf numFmtId="0" fontId="29" fillId="0" borderId="0" xfId="2" applyFont="1" applyFill="1" applyAlignment="1">
      <alignment horizontal="right" vertical="center"/>
    </xf>
    <xf numFmtId="0" fontId="30" fillId="0" borderId="0" xfId="2" applyFont="1" applyFill="1" applyAlignment="1">
      <alignment horizontal="right" vertical="center"/>
    </xf>
    <xf numFmtId="0" fontId="30" fillId="0" borderId="0" xfId="2" applyFont="1" applyFill="1" applyAlignment="1">
      <alignment horizontal="center" vertical="center"/>
    </xf>
    <xf numFmtId="0" fontId="30" fillId="0" borderId="1" xfId="2" applyFont="1" applyFill="1" applyBorder="1" applyAlignment="1">
      <alignment horizontal="right" vertical="center"/>
    </xf>
    <xf numFmtId="0" fontId="30" fillId="0" borderId="1" xfId="2" applyFont="1" applyFill="1" applyBorder="1" applyAlignment="1">
      <alignment horizontal="center" vertical="center"/>
    </xf>
    <xf numFmtId="176" fontId="30" fillId="0" borderId="2" xfId="2" quotePrefix="1" applyNumberFormat="1" applyFont="1" applyFill="1" applyBorder="1" applyAlignment="1">
      <alignment horizontal="center" vertical="center"/>
    </xf>
    <xf numFmtId="176" fontId="30" fillId="0" borderId="3" xfId="2" quotePrefix="1" applyNumberFormat="1" applyFont="1" applyFill="1" applyBorder="1" applyAlignment="1">
      <alignment horizontal="center" vertical="center"/>
    </xf>
    <xf numFmtId="176" fontId="30" fillId="0" borderId="3" xfId="2" applyNumberFormat="1" applyFont="1" applyFill="1" applyBorder="1" applyAlignment="1">
      <alignment horizontal="center" vertical="center"/>
    </xf>
    <xf numFmtId="176" fontId="31" fillId="0" borderId="4" xfId="2" quotePrefix="1" applyNumberFormat="1" applyFont="1" applyFill="1" applyBorder="1" applyAlignment="1">
      <alignment horizontal="left" vertical="center"/>
    </xf>
    <xf numFmtId="176" fontId="30" fillId="0" borderId="5" xfId="2" quotePrefix="1" applyNumberFormat="1" applyFont="1" applyFill="1" applyBorder="1" applyAlignment="1">
      <alignment horizontal="center" vertical="center"/>
    </xf>
    <xf numFmtId="176" fontId="30" fillId="0" borderId="5" xfId="2" applyNumberFormat="1" applyFont="1" applyFill="1" applyBorder="1" applyAlignment="1">
      <alignment horizontal="left" vertical="center"/>
    </xf>
    <xf numFmtId="0" fontId="30" fillId="0" borderId="5" xfId="2" applyNumberFormat="1" applyFont="1" applyFill="1" applyBorder="1" applyAlignment="1">
      <alignment horizontal="center" vertical="center"/>
    </xf>
    <xf numFmtId="176" fontId="30" fillId="0" borderId="4" xfId="2" applyNumberFormat="1" applyFont="1" applyFill="1" applyBorder="1" applyAlignment="1">
      <alignment horizontal="left" vertical="center"/>
    </xf>
    <xf numFmtId="176" fontId="30" fillId="0" borderId="3" xfId="2" quotePrefix="1" applyNumberFormat="1" applyFont="1" applyFill="1" applyBorder="1" applyAlignment="1">
      <alignment horizontal="left" vertical="center"/>
    </xf>
    <xf numFmtId="176" fontId="30" fillId="0" borderId="4" xfId="2" quotePrefix="1" applyNumberFormat="1" applyFont="1" applyFill="1" applyBorder="1" applyAlignment="1">
      <alignment horizontal="left" vertical="center"/>
    </xf>
    <xf numFmtId="176" fontId="30" fillId="0" borderId="5" xfId="2" quotePrefix="1" applyNumberFormat="1" applyFont="1" applyFill="1" applyBorder="1" applyAlignment="1">
      <alignment horizontal="left" vertical="center"/>
    </xf>
    <xf numFmtId="176" fontId="31" fillId="0" borderId="5" xfId="2" quotePrefix="1" applyNumberFormat="1" applyFont="1" applyFill="1" applyBorder="1" applyAlignment="1">
      <alignment horizontal="left" vertical="center"/>
    </xf>
    <xf numFmtId="0" fontId="30" fillId="0" borderId="5" xfId="2" applyFont="1" applyFill="1" applyBorder="1" applyAlignment="1">
      <alignment horizontal="left" vertical="center"/>
    </xf>
    <xf numFmtId="0" fontId="30" fillId="0" borderId="4" xfId="2" applyFont="1" applyFill="1" applyBorder="1" applyAlignment="1">
      <alignment horizontal="left" vertical="center"/>
    </xf>
    <xf numFmtId="0" fontId="30" fillId="0" borderId="0" xfId="2" applyFont="1" applyFill="1" applyAlignment="1">
      <alignment horizontal="left" vertical="center"/>
    </xf>
    <xf numFmtId="0" fontId="31" fillId="3" borderId="5" xfId="2" applyFont="1" applyFill="1" applyBorder="1" applyAlignment="1">
      <alignment horizontal="left" vertical="center"/>
    </xf>
    <xf numFmtId="0" fontId="31" fillId="0" borderId="5" xfId="2" applyFont="1" applyFill="1" applyBorder="1" applyAlignment="1">
      <alignment horizontal="left" vertical="center"/>
    </xf>
    <xf numFmtId="176" fontId="30" fillId="0" borderId="6" xfId="2" applyNumberFormat="1" applyFont="1" applyFill="1" applyBorder="1" applyAlignment="1">
      <alignment horizontal="left" vertical="center"/>
    </xf>
    <xf numFmtId="176" fontId="30" fillId="0" borderId="7" xfId="2" quotePrefix="1" applyNumberFormat="1" applyFont="1" applyFill="1" applyBorder="1" applyAlignment="1">
      <alignment horizontal="center" vertical="center"/>
    </xf>
    <xf numFmtId="0" fontId="30" fillId="0" borderId="7" xfId="2" applyFont="1" applyFill="1" applyBorder="1" applyAlignment="1">
      <alignment horizontal="left" vertical="center"/>
    </xf>
    <xf numFmtId="0" fontId="30" fillId="0" borderId="7" xfId="2" applyNumberFormat="1" applyFont="1" applyFill="1" applyBorder="1" applyAlignment="1">
      <alignment horizontal="center" vertical="center"/>
    </xf>
    <xf numFmtId="0" fontId="29" fillId="0" borderId="0" xfId="2" applyFont="1" applyFill="1" applyAlignment="1">
      <alignment horizontal="center" vertical="center"/>
    </xf>
    <xf numFmtId="0" fontId="2" fillId="0" borderId="0" xfId="1" applyFont="1" applyFill="1" applyAlignment="1">
      <alignment horizontal="right" vertical="center"/>
    </xf>
    <xf numFmtId="176" fontId="30" fillId="0" borderId="8" xfId="1" quotePrefix="1" applyNumberFormat="1" applyFont="1" applyFill="1" applyBorder="1" applyAlignment="1">
      <alignment horizontal="center" vertical="center"/>
    </xf>
    <xf numFmtId="176" fontId="30" fillId="0" borderId="9" xfId="1" quotePrefix="1" applyNumberFormat="1" applyFont="1" applyFill="1" applyBorder="1" applyAlignment="1">
      <alignment horizontal="center" vertical="center"/>
    </xf>
    <xf numFmtId="176" fontId="30" fillId="0" borderId="9" xfId="1" applyNumberFormat="1" applyFont="1" applyFill="1" applyBorder="1" applyAlignment="1">
      <alignment horizontal="center" vertical="center"/>
    </xf>
    <xf numFmtId="176" fontId="30" fillId="0" borderId="10" xfId="1" quotePrefix="1" applyNumberFormat="1" applyFont="1" applyFill="1" applyBorder="1" applyAlignment="1">
      <alignment horizontal="center" vertical="center"/>
    </xf>
    <xf numFmtId="176" fontId="30" fillId="0" borderId="10" xfId="1" applyNumberFormat="1" applyFont="1" applyFill="1" applyBorder="1" applyAlignment="1">
      <alignment horizontal="center" vertical="center"/>
    </xf>
    <xf numFmtId="176" fontId="30" fillId="0" borderId="10" xfId="1" applyNumberFormat="1" applyFont="1" applyFill="1" applyBorder="1" applyAlignment="1">
      <alignment horizontal="left" vertical="center"/>
    </xf>
    <xf numFmtId="176" fontId="30" fillId="0" borderId="11" xfId="1" quotePrefix="1" applyNumberFormat="1" applyFont="1" applyFill="1" applyBorder="1" applyAlignment="1">
      <alignment horizontal="left" vertical="center"/>
    </xf>
    <xf numFmtId="176" fontId="30" fillId="0" borderId="10" xfId="1" applyNumberFormat="1" applyFont="1" applyFill="1" applyBorder="1" applyAlignment="1">
      <alignment horizontal="right" vertical="center"/>
    </xf>
    <xf numFmtId="176" fontId="30" fillId="0" borderId="10" xfId="1" quotePrefix="1" applyNumberFormat="1" applyFont="1" applyFill="1" applyBorder="1" applyAlignment="1">
      <alignment horizontal="left" vertical="center"/>
    </xf>
    <xf numFmtId="176" fontId="31" fillId="0" borderId="10" xfId="1" quotePrefix="1" applyNumberFormat="1" applyFont="1" applyFill="1" applyBorder="1" applyAlignment="1">
      <alignment horizontal="center" vertical="center"/>
    </xf>
    <xf numFmtId="0" fontId="30" fillId="0" borderId="10" xfId="1" applyFont="1" applyFill="1" applyBorder="1" applyAlignment="1" applyProtection="1">
      <alignment vertical="center" wrapText="1"/>
      <protection locked="0"/>
    </xf>
    <xf numFmtId="176" fontId="31" fillId="0" borderId="10" xfId="1" applyNumberFormat="1" applyFont="1" applyFill="1" applyBorder="1" applyAlignment="1">
      <alignment horizontal="center" vertical="center"/>
    </xf>
    <xf numFmtId="176" fontId="31" fillId="0" borderId="10" xfId="1" quotePrefix="1" applyNumberFormat="1" applyFont="1" applyFill="1" applyBorder="1" applyAlignment="1">
      <alignment horizontal="left" vertical="center"/>
    </xf>
    <xf numFmtId="176" fontId="31" fillId="0" borderId="11" xfId="1" quotePrefix="1" applyNumberFormat="1" applyFont="1" applyFill="1" applyBorder="1" applyAlignment="1">
      <alignment horizontal="center" vertical="center"/>
    </xf>
    <xf numFmtId="176" fontId="30" fillId="0" borderId="11" xfId="1" applyNumberFormat="1" applyFont="1" applyFill="1" applyBorder="1" applyAlignment="1">
      <alignment horizontal="left" vertical="center"/>
    </xf>
    <xf numFmtId="176" fontId="31" fillId="0" borderId="10" xfId="1" applyNumberFormat="1" applyFont="1" applyFill="1" applyBorder="1" applyAlignment="1">
      <alignment horizontal="left" vertical="center"/>
    </xf>
    <xf numFmtId="176" fontId="30" fillId="0" borderId="12" xfId="1" quotePrefix="1" applyNumberFormat="1" applyFont="1" applyFill="1" applyBorder="1" applyAlignment="1">
      <alignment horizontal="center" vertical="center"/>
    </xf>
    <xf numFmtId="0" fontId="30" fillId="0" borderId="12" xfId="1" applyFont="1" applyFill="1" applyBorder="1" applyAlignment="1">
      <alignment horizontal="right" vertical="center"/>
    </xf>
    <xf numFmtId="0" fontId="30" fillId="0" borderId="12" xfId="1" applyFont="1" applyFill="1" applyBorder="1" applyAlignment="1">
      <alignment horizontal="center" vertical="center"/>
    </xf>
    <xf numFmtId="0" fontId="28" fillId="0" borderId="0" xfId="1" applyFont="1" applyFill="1" applyAlignment="1">
      <alignment horizontal="right" vertical="center"/>
    </xf>
    <xf numFmtId="0" fontId="32" fillId="0" borderId="13" xfId="1" applyFont="1" applyFill="1" applyBorder="1" applyAlignment="1">
      <alignment vertical="center"/>
    </xf>
    <xf numFmtId="176" fontId="29" fillId="0" borderId="0" xfId="1" quotePrefix="1" applyNumberFormat="1" applyFont="1" applyFill="1" applyBorder="1" applyAlignment="1">
      <alignment horizontal="left" vertical="center" wrapText="1"/>
    </xf>
    <xf numFmtId="177" fontId="29" fillId="0" borderId="0" xfId="1" applyNumberFormat="1" applyFont="1" applyFill="1" applyAlignment="1">
      <alignment horizontal="right" vertical="center"/>
    </xf>
    <xf numFmtId="177" fontId="28" fillId="0" borderId="0" xfId="1" applyNumberFormat="1" applyFont="1" applyFill="1" applyAlignment="1">
      <alignment horizontal="right" vertical="center"/>
    </xf>
    <xf numFmtId="179" fontId="33" fillId="0" borderId="0" xfId="4" applyNumberFormat="1" applyFont="1" applyFill="1" applyBorder="1" applyAlignment="1">
      <alignment horizontal="center" vertical="center"/>
    </xf>
    <xf numFmtId="179" fontId="34" fillId="0" borderId="0" xfId="4" applyNumberFormat="1" applyFont="1" applyFill="1" applyBorder="1" applyAlignment="1">
      <alignment horizontal="center" vertical="center"/>
    </xf>
    <xf numFmtId="31" fontId="34" fillId="0" borderId="0" xfId="4" applyNumberFormat="1" applyFont="1" applyFill="1" applyBorder="1" applyAlignment="1">
      <alignment horizontal="centerContinuous" vertical="center"/>
    </xf>
    <xf numFmtId="0" fontId="31" fillId="0" borderId="0" xfId="4" applyNumberFormat="1" applyFont="1" applyFill="1" applyBorder="1" applyAlignment="1">
      <alignment horizontal="center" vertical="center"/>
    </xf>
    <xf numFmtId="43" fontId="33" fillId="0" borderId="0" xfId="10" applyFont="1" applyFill="1" applyBorder="1" applyAlignment="1">
      <alignment horizontal="center" vertical="center"/>
    </xf>
    <xf numFmtId="179" fontId="31" fillId="0" borderId="10" xfId="4" applyNumberFormat="1" applyFont="1" applyFill="1" applyBorder="1" applyAlignment="1">
      <alignment horizontal="center" vertical="center"/>
    </xf>
    <xf numFmtId="0" fontId="31" fillId="0" borderId="10" xfId="4" applyNumberFormat="1" applyFont="1" applyFill="1" applyBorder="1" applyAlignment="1">
      <alignment horizontal="center" vertical="center"/>
    </xf>
    <xf numFmtId="0" fontId="31" fillId="0" borderId="11" xfId="4" applyNumberFormat="1" applyFont="1" applyFill="1" applyBorder="1" applyAlignment="1">
      <alignment vertical="center"/>
    </xf>
    <xf numFmtId="0" fontId="30" fillId="0" borderId="11" xfId="4" applyNumberFormat="1" applyFont="1" applyFill="1" applyBorder="1" applyAlignment="1">
      <alignment vertical="center"/>
    </xf>
    <xf numFmtId="179" fontId="30" fillId="0" borderId="14" xfId="10" applyNumberFormat="1" applyFont="1" applyFill="1" applyBorder="1" applyAlignment="1">
      <alignment horizontal="center" vertical="center"/>
    </xf>
    <xf numFmtId="0" fontId="11" fillId="0" borderId="0" xfId="4" applyNumberFormat="1" applyFont="1" applyFill="1" applyBorder="1" applyAlignment="1">
      <alignment vertical="center"/>
    </xf>
    <xf numFmtId="179" fontId="11" fillId="0" borderId="0" xfId="4" applyNumberFormat="1" applyFont="1" applyFill="1" applyBorder="1" applyAlignment="1">
      <alignment vertical="center"/>
    </xf>
    <xf numFmtId="0" fontId="31" fillId="0" borderId="11" xfId="4" applyNumberFormat="1" applyFont="1" applyFill="1" applyBorder="1" applyAlignment="1">
      <alignment horizontal="center" vertical="center"/>
    </xf>
    <xf numFmtId="43" fontId="31" fillId="0" borderId="10" xfId="12" applyNumberFormat="1" applyFont="1" applyFill="1" applyBorder="1" applyAlignment="1">
      <alignment horizontal="center" vertical="center"/>
    </xf>
    <xf numFmtId="0" fontId="11" fillId="2" borderId="0" xfId="0" applyFont="1" applyFill="1" applyBorder="1" applyAlignment="1">
      <alignment horizontal="left" vertical="center"/>
    </xf>
    <xf numFmtId="179" fontId="11" fillId="0" borderId="0" xfId="4" applyNumberFormat="1" applyFont="1" applyFill="1" applyBorder="1" applyAlignment="1">
      <alignment horizontal="center" vertical="center"/>
    </xf>
    <xf numFmtId="43" fontId="11" fillId="0" borderId="0" xfId="10" applyFont="1" applyFill="1" applyBorder="1" applyAlignment="1">
      <alignment horizontal="center" vertical="center"/>
    </xf>
    <xf numFmtId="0" fontId="11" fillId="0" borderId="0" xfId="4" applyNumberFormat="1" applyFont="1" applyFill="1" applyBorder="1" applyAlignment="1">
      <alignment horizontal="center" vertical="center"/>
    </xf>
    <xf numFmtId="0" fontId="11" fillId="0" borderId="0" xfId="6" applyFont="1" applyAlignment="1" applyProtection="1">
      <alignment vertical="center"/>
      <protection hidden="1"/>
    </xf>
    <xf numFmtId="0" fontId="13" fillId="0" borderId="0" xfId="4" applyNumberFormat="1" applyFont="1" applyFill="1" applyBorder="1" applyAlignment="1">
      <alignment vertical="center"/>
    </xf>
    <xf numFmtId="0" fontId="11" fillId="0" borderId="0" xfId="6" applyFont="1" applyAlignment="1" applyProtection="1">
      <alignment horizontal="center" vertical="center"/>
      <protection hidden="1"/>
    </xf>
    <xf numFmtId="43" fontId="11" fillId="0" borderId="0" xfId="14" applyFont="1" applyAlignment="1" applyProtection="1">
      <alignment horizontal="center" vertical="center"/>
      <protection locked="0"/>
    </xf>
    <xf numFmtId="0" fontId="0" fillId="0" borderId="0" xfId="0" applyAlignment="1">
      <alignment horizontal="center" vertical="center"/>
    </xf>
    <xf numFmtId="0" fontId="0" fillId="0" borderId="0" xfId="0" applyAlignment="1">
      <alignment vertical="center"/>
    </xf>
    <xf numFmtId="0" fontId="35" fillId="0" borderId="10" xfId="0" applyFont="1" applyBorder="1">
      <alignment vertical="center"/>
    </xf>
    <xf numFmtId="0" fontId="35" fillId="0" borderId="10" xfId="0" applyFont="1" applyBorder="1" applyAlignment="1">
      <alignment horizontal="center" vertical="center"/>
    </xf>
    <xf numFmtId="0" fontId="0" fillId="0" borderId="15" xfId="0" applyBorder="1">
      <alignment vertical="center"/>
    </xf>
    <xf numFmtId="0" fontId="0" fillId="0" borderId="15" xfId="0" applyBorder="1" applyAlignment="1">
      <alignment horizontal="center" vertical="center"/>
    </xf>
    <xf numFmtId="0" fontId="0" fillId="0" borderId="0" xfId="0" applyBorder="1">
      <alignment vertical="center"/>
    </xf>
    <xf numFmtId="0" fontId="0" fillId="0" borderId="0" xfId="0" applyBorder="1" applyAlignment="1">
      <alignment horizontal="center" vertical="center"/>
    </xf>
    <xf numFmtId="0" fontId="36" fillId="0" borderId="0" xfId="0" applyFont="1" applyAlignment="1">
      <alignment vertical="center"/>
    </xf>
    <xf numFmtId="0" fontId="37" fillId="0" borderId="0" xfId="0" applyFont="1" applyAlignment="1">
      <alignment vertical="center"/>
    </xf>
    <xf numFmtId="0" fontId="35" fillId="0" borderId="10" xfId="0" applyFont="1" applyFill="1" applyBorder="1" applyAlignment="1">
      <alignment horizontal="center" vertical="center"/>
    </xf>
    <xf numFmtId="0" fontId="38" fillId="0" borderId="0" xfId="0" applyFont="1">
      <alignment vertical="center"/>
    </xf>
    <xf numFmtId="0" fontId="38" fillId="0" borderId="0" xfId="0" applyFont="1" applyAlignment="1">
      <alignment horizontal="center" vertical="center"/>
    </xf>
    <xf numFmtId="0" fontId="38" fillId="0" borderId="0" xfId="0" applyFont="1" applyAlignment="1">
      <alignment horizontal="right" vertical="center"/>
    </xf>
    <xf numFmtId="0" fontId="38" fillId="0" borderId="10" xfId="0" applyFont="1" applyBorder="1">
      <alignment vertical="center"/>
    </xf>
    <xf numFmtId="0" fontId="38" fillId="0" borderId="10" xfId="0" applyFont="1" applyBorder="1" applyAlignment="1">
      <alignment horizontal="center" vertical="center"/>
    </xf>
    <xf numFmtId="0" fontId="38" fillId="0" borderId="10" xfId="0" applyFont="1" applyFill="1" applyBorder="1">
      <alignment vertical="center"/>
    </xf>
    <xf numFmtId="0" fontId="10" fillId="0" borderId="0" xfId="8" applyFont="1" applyAlignment="1">
      <alignment vertical="center"/>
    </xf>
    <xf numFmtId="0" fontId="10" fillId="0" borderId="0" xfId="8" applyFont="1" applyAlignment="1">
      <alignment horizontal="center" vertical="center"/>
    </xf>
    <xf numFmtId="0" fontId="10" fillId="0" borderId="0" xfId="8" applyFont="1" applyFill="1" applyBorder="1" applyAlignment="1">
      <alignment vertical="center"/>
    </xf>
    <xf numFmtId="0" fontId="10" fillId="0" borderId="0" xfId="10" applyNumberFormat="1" applyFont="1" applyFill="1" applyAlignment="1">
      <alignment vertical="center"/>
    </xf>
    <xf numFmtId="0" fontId="10" fillId="0" borderId="0" xfId="8" applyFont="1" applyFill="1" applyAlignment="1">
      <alignment vertical="center"/>
    </xf>
    <xf numFmtId="0" fontId="10" fillId="0" borderId="0" xfId="8" applyFont="1" applyBorder="1" applyAlignment="1">
      <alignment vertical="center"/>
    </xf>
    <xf numFmtId="0" fontId="10" fillId="0" borderId="0" xfId="10" applyNumberFormat="1" applyFont="1" applyAlignment="1">
      <alignment vertical="center"/>
    </xf>
    <xf numFmtId="0" fontId="39" fillId="0" borderId="0" xfId="0" applyFont="1">
      <alignment vertical="center"/>
    </xf>
    <xf numFmtId="0" fontId="40" fillId="0" borderId="10" xfId="0" applyFont="1" applyBorder="1" applyAlignment="1">
      <alignment horizontal="center" vertical="center"/>
    </xf>
    <xf numFmtId="0" fontId="41" fillId="0" borderId="10" xfId="0" applyFont="1" applyBorder="1" applyAlignment="1">
      <alignment horizontal="center" vertical="center"/>
    </xf>
    <xf numFmtId="0" fontId="40" fillId="0" borderId="10" xfId="0" applyFont="1" applyBorder="1">
      <alignment vertical="center"/>
    </xf>
    <xf numFmtId="0" fontId="39" fillId="0" borderId="10" xfId="0" applyFont="1" applyBorder="1">
      <alignment vertical="center"/>
    </xf>
    <xf numFmtId="0" fontId="39" fillId="0" borderId="0" xfId="0" applyFont="1" applyAlignment="1">
      <alignment horizontal="right" vertical="center"/>
    </xf>
    <xf numFmtId="0" fontId="38" fillId="0" borderId="0" xfId="0" applyFont="1">
      <alignment vertical="center"/>
    </xf>
    <xf numFmtId="0" fontId="35" fillId="0" borderId="0" xfId="0" applyFont="1" applyAlignment="1">
      <alignment horizontal="center" vertical="center"/>
    </xf>
    <xf numFmtId="0" fontId="38" fillId="0" borderId="0" xfId="0" applyFont="1" applyAlignment="1">
      <alignment vertical="center"/>
    </xf>
    <xf numFmtId="0" fontId="38" fillId="0" borderId="0" xfId="0" applyFont="1" applyAlignment="1">
      <alignment horizontal="right" vertical="center"/>
    </xf>
    <xf numFmtId="0" fontId="38" fillId="0" borderId="16" xfId="0" applyFont="1" applyFill="1" applyBorder="1">
      <alignment vertical="center"/>
    </xf>
    <xf numFmtId="0" fontId="35" fillId="0" borderId="17" xfId="0" applyFont="1" applyBorder="1">
      <alignment vertical="center"/>
    </xf>
    <xf numFmtId="0" fontId="38" fillId="0" borderId="17" xfId="0" applyFont="1" applyBorder="1">
      <alignment vertical="center"/>
    </xf>
    <xf numFmtId="0" fontId="30" fillId="0" borderId="0" xfId="8" applyFont="1" applyAlignment="1">
      <alignment horizontal="center" vertical="center"/>
    </xf>
    <xf numFmtId="40" fontId="30" fillId="0" borderId="0" xfId="10" applyNumberFormat="1" applyFont="1" applyAlignment="1">
      <alignment horizontal="center" vertical="center"/>
    </xf>
    <xf numFmtId="0" fontId="30" fillId="0" borderId="0" xfId="8" applyFont="1" applyAlignment="1">
      <alignment horizontal="right" vertical="center"/>
    </xf>
    <xf numFmtId="0" fontId="30" fillId="0" borderId="0" xfId="8" applyFont="1" applyBorder="1" applyAlignment="1">
      <alignment horizontal="right" vertical="center"/>
    </xf>
    <xf numFmtId="0" fontId="30" fillId="0" borderId="10" xfId="8" applyFont="1" applyBorder="1" applyAlignment="1">
      <alignment horizontal="center" vertical="center"/>
    </xf>
    <xf numFmtId="40" fontId="30" fillId="0" borderId="10" xfId="10" applyNumberFormat="1" applyFont="1" applyBorder="1" applyAlignment="1">
      <alignment horizontal="center" vertical="center"/>
    </xf>
    <xf numFmtId="0" fontId="31" fillId="0" borderId="10" xfId="8" applyFont="1" applyBorder="1" applyAlignment="1">
      <alignment horizontal="justify" vertical="center"/>
    </xf>
    <xf numFmtId="49" fontId="30" fillId="0" borderId="10" xfId="10" applyNumberFormat="1" applyFont="1" applyBorder="1" applyAlignment="1">
      <alignment horizontal="center" vertical="center"/>
    </xf>
    <xf numFmtId="0" fontId="30" fillId="0" borderId="10" xfId="8" applyFont="1" applyBorder="1" applyAlignment="1">
      <alignment horizontal="left" vertical="center"/>
    </xf>
    <xf numFmtId="0" fontId="31" fillId="0" borderId="10" xfId="8" applyFont="1" applyBorder="1" applyAlignment="1">
      <alignment horizontal="center" vertical="center"/>
    </xf>
    <xf numFmtId="0" fontId="30" fillId="0" borderId="10" xfId="8" applyFont="1" applyBorder="1" applyAlignment="1">
      <alignment horizontal="left" vertical="center" wrapText="1"/>
    </xf>
    <xf numFmtId="0" fontId="31" fillId="0" borderId="10" xfId="8" applyFont="1" applyBorder="1" applyAlignment="1">
      <alignment horizontal="left" vertical="center"/>
    </xf>
    <xf numFmtId="40" fontId="10" fillId="0" borderId="0" xfId="10" applyNumberFormat="1" applyFont="1" applyFill="1" applyAlignment="1">
      <alignment vertical="center"/>
    </xf>
    <xf numFmtId="0" fontId="10" fillId="0" borderId="0" xfId="8" applyFont="1" applyFill="1" applyAlignment="1">
      <alignment horizontal="center" vertical="center"/>
    </xf>
    <xf numFmtId="40" fontId="10" fillId="0" borderId="0" xfId="10" applyNumberFormat="1" applyFont="1" applyAlignment="1">
      <alignment vertical="center"/>
    </xf>
    <xf numFmtId="180" fontId="7" fillId="0" borderId="0" xfId="0" applyNumberFormat="1" applyFont="1" applyBorder="1" applyAlignment="1" applyProtection="1"/>
    <xf numFmtId="0" fontId="7" fillId="0" borderId="0" xfId="0" applyFont="1" applyBorder="1" applyAlignment="1" applyProtection="1"/>
    <xf numFmtId="39" fontId="9" fillId="0" borderId="18" xfId="0" applyNumberFormat="1" applyFont="1" applyBorder="1" applyAlignment="1" applyProtection="1">
      <alignment horizontal="centerContinuous" wrapText="1"/>
    </xf>
    <xf numFmtId="180" fontId="9" fillId="0" borderId="10" xfId="0" applyNumberFormat="1" applyFont="1" applyBorder="1" applyAlignment="1" applyProtection="1">
      <alignment horizontal="center" wrapText="1"/>
    </xf>
    <xf numFmtId="40" fontId="9" fillId="0" borderId="11" xfId="10" applyNumberFormat="1" applyFont="1" applyBorder="1" applyAlignment="1" applyProtection="1">
      <alignment horizontal="center" wrapText="1"/>
    </xf>
    <xf numFmtId="39" fontId="9" fillId="0" borderId="18" xfId="10" applyNumberFormat="1" applyFont="1" applyBorder="1" applyAlignment="1" applyProtection="1"/>
    <xf numFmtId="0" fontId="38" fillId="0" borderId="10" xfId="0" applyFont="1" applyBorder="1">
      <alignment vertical="center"/>
    </xf>
    <xf numFmtId="39" fontId="7" fillId="0" borderId="18" xfId="10" applyNumberFormat="1" applyFont="1" applyFill="1" applyBorder="1" applyAlignment="1" applyProtection="1">
      <alignment horizontal="left"/>
    </xf>
    <xf numFmtId="39" fontId="7" fillId="0" borderId="18" xfId="10" applyNumberFormat="1" applyFont="1" applyFill="1" applyBorder="1" applyAlignment="1" applyProtection="1">
      <alignment horizontal="left" wrapText="1"/>
    </xf>
    <xf numFmtId="39" fontId="9" fillId="0" borderId="18" xfId="10" applyNumberFormat="1" applyFont="1" applyFill="1" applyBorder="1" applyAlignment="1" applyProtection="1">
      <alignment horizontal="left"/>
    </xf>
    <xf numFmtId="39" fontId="9" fillId="0" borderId="18" xfId="10" applyNumberFormat="1" applyFont="1" applyBorder="1" applyAlignment="1" applyProtection="1">
      <alignment horizontal="centerContinuous"/>
    </xf>
    <xf numFmtId="39" fontId="9" fillId="0" borderId="15" xfId="10" applyNumberFormat="1" applyFont="1" applyBorder="1" applyAlignment="1" applyProtection="1">
      <alignment horizontal="centerContinuous"/>
    </xf>
    <xf numFmtId="39" fontId="9" fillId="0" borderId="10" xfId="10" applyNumberFormat="1" applyFont="1" applyBorder="1" applyAlignment="1" applyProtection="1">
      <alignment horizontal="centerContinuous"/>
    </xf>
    <xf numFmtId="39" fontId="14" fillId="0" borderId="0" xfId="0" applyNumberFormat="1" applyFont="1" applyBorder="1" applyAlignment="1" applyProtection="1"/>
    <xf numFmtId="39" fontId="9" fillId="0" borderId="14" xfId="0" applyNumberFormat="1" applyFont="1" applyFill="1" applyBorder="1" applyAlignment="1" applyProtection="1">
      <alignment vertical="center"/>
    </xf>
    <xf numFmtId="39" fontId="9" fillId="0" borderId="10" xfId="0" applyNumberFormat="1" applyFont="1" applyFill="1" applyBorder="1" applyAlignment="1" applyProtection="1">
      <alignment horizontal="center" vertical="center" wrapText="1"/>
    </xf>
    <xf numFmtId="39" fontId="9" fillId="0" borderId="11" xfId="0" applyNumberFormat="1" applyFont="1" applyFill="1" applyBorder="1" applyAlignment="1" applyProtection="1">
      <alignment horizontal="center" vertical="center" wrapText="1"/>
    </xf>
    <xf numFmtId="39" fontId="9" fillId="0" borderId="14" xfId="7" applyNumberFormat="1" applyFont="1" applyFill="1" applyBorder="1" applyAlignment="1" applyProtection="1">
      <alignment vertical="center"/>
    </xf>
    <xf numFmtId="39" fontId="7" fillId="0" borderId="14" xfId="7" applyNumberFormat="1" applyFont="1" applyFill="1" applyBorder="1" applyAlignment="1" applyProtection="1">
      <alignment vertical="center"/>
    </xf>
    <xf numFmtId="39" fontId="7" fillId="0" borderId="11" xfId="7" applyNumberFormat="1" applyFont="1" applyFill="1" applyBorder="1" applyAlignment="1" applyProtection="1">
      <alignment vertical="center"/>
    </xf>
    <xf numFmtId="39" fontId="2" fillId="0" borderId="0" xfId="0" applyNumberFormat="1" applyFont="1" applyBorder="1" applyAlignment="1" applyProtection="1">
      <protection locked="0"/>
    </xf>
    <xf numFmtId="39" fontId="2" fillId="0" borderId="0" xfId="0" applyNumberFormat="1" applyFont="1" applyBorder="1" applyAlignment="1" applyProtection="1"/>
    <xf numFmtId="39" fontId="7" fillId="0" borderId="14" xfId="7" applyNumberFormat="1" applyFont="1" applyFill="1" applyBorder="1" applyAlignment="1" applyProtection="1">
      <alignment horizontal="right" vertical="center"/>
    </xf>
    <xf numFmtId="39" fontId="9" fillId="0" borderId="11" xfId="10" applyNumberFormat="1" applyFont="1" applyFill="1" applyBorder="1" applyAlignment="1" applyProtection="1">
      <alignment vertical="center"/>
    </xf>
    <xf numFmtId="39" fontId="2" fillId="0" borderId="15" xfId="0" applyNumberFormat="1" applyFont="1" applyBorder="1" applyAlignment="1" applyProtection="1">
      <alignment horizontal="left" vertical="center"/>
    </xf>
    <xf numFmtId="39" fontId="2" fillId="0" borderId="0" xfId="0" applyNumberFormat="1" applyFont="1" applyBorder="1" applyAlignment="1" applyProtection="1">
      <alignment vertical="center"/>
    </xf>
    <xf numFmtId="0" fontId="42" fillId="0" borderId="10" xfId="0" applyFont="1" applyBorder="1">
      <alignment vertical="center"/>
    </xf>
    <xf numFmtId="39" fontId="2" fillId="0" borderId="15" xfId="10" applyNumberFormat="1" applyFont="1" applyFill="1" applyBorder="1" applyAlignment="1" applyProtection="1">
      <alignment horizontal="left"/>
    </xf>
    <xf numFmtId="39" fontId="21" fillId="0" borderId="0" xfId="10" applyNumberFormat="1" applyFont="1" applyBorder="1" applyAlignment="1" applyProtection="1"/>
    <xf numFmtId="181" fontId="21" fillId="0" borderId="0" xfId="10" applyNumberFormat="1" applyFont="1" applyBorder="1" applyAlignment="1" applyProtection="1"/>
    <xf numFmtId="181" fontId="2" fillId="0" borderId="0" xfId="0" applyNumberFormat="1" applyFont="1" applyBorder="1" applyAlignment="1" applyProtection="1"/>
    <xf numFmtId="0" fontId="2" fillId="0" borderId="0" xfId="0" applyFont="1" applyBorder="1" applyAlignment="1" applyProtection="1">
      <protection locked="0"/>
    </xf>
    <xf numFmtId="0" fontId="2" fillId="0" borderId="0" xfId="0" applyFont="1" applyBorder="1" applyAlignment="1" applyProtection="1"/>
    <xf numFmtId="39" fontId="20" fillId="0" borderId="0" xfId="0" applyNumberFormat="1" applyFont="1" applyBorder="1" applyAlignment="1" applyProtection="1">
      <protection locked="0"/>
    </xf>
    <xf numFmtId="39" fontId="20" fillId="0" borderId="0" xfId="0" applyNumberFormat="1" applyFont="1" applyBorder="1" applyAlignment="1" applyProtection="1"/>
    <xf numFmtId="39" fontId="3" fillId="0" borderId="0" xfId="0" applyNumberFormat="1" applyFont="1" applyBorder="1" applyAlignment="1" applyProtection="1">
      <protection locked="0"/>
    </xf>
    <xf numFmtId="39" fontId="3" fillId="0" borderId="0" xfId="0" applyNumberFormat="1" applyFont="1" applyBorder="1" applyAlignment="1" applyProtection="1"/>
    <xf numFmtId="39" fontId="3" fillId="0" borderId="15" xfId="0" applyNumberFormat="1" applyFont="1" applyBorder="1" applyAlignment="1" applyProtection="1">
      <alignment horizontal="left"/>
    </xf>
    <xf numFmtId="0" fontId="35" fillId="0" borderId="0" xfId="0" applyFont="1" applyAlignment="1">
      <alignment horizontal="center" vertical="center"/>
    </xf>
    <xf numFmtId="0" fontId="38" fillId="0" borderId="19" xfId="0" applyFont="1" applyBorder="1">
      <alignment vertical="center"/>
    </xf>
    <xf numFmtId="0" fontId="38" fillId="0" borderId="20" xfId="0" applyFont="1" applyBorder="1">
      <alignment vertical="center"/>
    </xf>
    <xf numFmtId="0" fontId="38" fillId="0" borderId="16" xfId="0" applyFont="1" applyBorder="1">
      <alignment vertical="center"/>
    </xf>
    <xf numFmtId="0" fontId="38" fillId="0" borderId="9" xfId="0" applyFont="1" applyBorder="1">
      <alignment vertical="center"/>
    </xf>
    <xf numFmtId="0" fontId="38" fillId="0" borderId="17" xfId="0" applyFont="1" applyBorder="1" applyAlignment="1">
      <alignment vertical="center" wrapText="1"/>
    </xf>
    <xf numFmtId="0" fontId="35" fillId="0" borderId="17" xfId="0" applyFont="1" applyBorder="1" applyAlignment="1">
      <alignment horizontal="center" vertical="center"/>
    </xf>
    <xf numFmtId="0" fontId="38" fillId="0" borderId="14" xfId="0" applyFont="1" applyBorder="1" applyAlignment="1">
      <alignment horizontal="center" vertical="center"/>
    </xf>
    <xf numFmtId="0" fontId="36" fillId="0" borderId="0" xfId="0" applyFont="1" applyAlignment="1"/>
    <xf numFmtId="0" fontId="36" fillId="0" borderId="0" xfId="0" applyFont="1" applyAlignment="1">
      <alignment horizontal="center"/>
    </xf>
    <xf numFmtId="0" fontId="43" fillId="0" borderId="0" xfId="0" applyFont="1" applyAlignment="1"/>
    <xf numFmtId="0" fontId="0" fillId="0" borderId="0" xfId="0" applyAlignment="1"/>
    <xf numFmtId="0" fontId="30" fillId="0" borderId="0" xfId="0" applyFont="1" applyAlignment="1"/>
    <xf numFmtId="0" fontId="31" fillId="0" borderId="10" xfId="4" applyNumberFormat="1" applyFont="1" applyFill="1" applyBorder="1" applyAlignment="1">
      <alignment horizontal="center"/>
    </xf>
    <xf numFmtId="0" fontId="31" fillId="0" borderId="10" xfId="4" applyNumberFormat="1" applyFont="1" applyFill="1" applyBorder="1" applyAlignment="1" applyProtection="1">
      <alignment horizontal="center" vertical="center"/>
      <protection locked="0"/>
    </xf>
    <xf numFmtId="0" fontId="31" fillId="0" borderId="10" xfId="12" applyNumberFormat="1" applyFont="1" applyFill="1" applyBorder="1"/>
    <xf numFmtId="0" fontId="30" fillId="0" borderId="10" xfId="4" applyNumberFormat="1" applyFont="1" applyFill="1" applyBorder="1"/>
    <xf numFmtId="0" fontId="30" fillId="0" borderId="10" xfId="12" applyNumberFormat="1" applyFont="1" applyFill="1" applyBorder="1"/>
    <xf numFmtId="179" fontId="30" fillId="0" borderId="10" xfId="13" applyNumberFormat="1" applyFont="1" applyFill="1" applyBorder="1" applyAlignment="1" applyProtection="1">
      <alignment horizontal="center" vertical="center"/>
      <protection locked="0"/>
    </xf>
    <xf numFmtId="0" fontId="31" fillId="0" borderId="10" xfId="4" applyNumberFormat="1" applyFont="1" applyFill="1" applyBorder="1" applyAlignment="1"/>
    <xf numFmtId="0" fontId="31" fillId="0" borderId="10" xfId="12" applyNumberFormat="1" applyFont="1" applyFill="1" applyBorder="1" applyAlignment="1">
      <alignment horizontal="center"/>
    </xf>
    <xf numFmtId="0" fontId="31" fillId="0" borderId="10" xfId="4" applyNumberFormat="1" applyFont="1" applyFill="1" applyBorder="1"/>
    <xf numFmtId="0" fontId="44" fillId="0" borderId="10" xfId="12" applyNumberFormat="1" applyFont="1" applyFill="1" applyBorder="1"/>
    <xf numFmtId="0" fontId="30" fillId="0" borderId="0" xfId="0" applyFont="1" applyAlignment="1">
      <alignment horizontal="center" vertical="center"/>
    </xf>
    <xf numFmtId="179" fontId="34" fillId="0" borderId="0" xfId="4" applyNumberFormat="1" applyFont="1" applyFill="1" applyBorder="1" applyAlignment="1">
      <alignment horizontal="right"/>
    </xf>
    <xf numFmtId="0" fontId="30" fillId="0" borderId="0" xfId="0" applyFont="1" applyFill="1" applyAlignment="1"/>
    <xf numFmtId="0" fontId="31" fillId="0" borderId="14" xfId="7" applyFont="1" applyFill="1" applyBorder="1" applyAlignment="1">
      <alignment horizontal="center" vertical="center"/>
    </xf>
    <xf numFmtId="0" fontId="31" fillId="0" borderId="10" xfId="7" applyFont="1" applyFill="1" applyBorder="1" applyAlignment="1">
      <alignment horizontal="center" vertical="center"/>
    </xf>
    <xf numFmtId="179" fontId="31" fillId="0" borderId="10" xfId="7" applyNumberFormat="1" applyFont="1" applyFill="1" applyBorder="1" applyAlignment="1">
      <alignment horizontal="center" vertical="center"/>
    </xf>
    <xf numFmtId="0" fontId="31" fillId="0" borderId="11" xfId="7" applyFont="1" applyFill="1" applyBorder="1" applyAlignment="1">
      <alignment vertical="center"/>
    </xf>
    <xf numFmtId="0" fontId="30" fillId="0" borderId="11" xfId="7" applyFont="1" applyFill="1" applyBorder="1" applyAlignment="1">
      <alignment vertical="center"/>
    </xf>
    <xf numFmtId="0" fontId="31" fillId="0" borderId="11" xfId="7" applyFont="1" applyFill="1" applyBorder="1" applyAlignment="1">
      <alignment horizontal="center" vertical="center"/>
    </xf>
    <xf numFmtId="0" fontId="31" fillId="0" borderId="21" xfId="7" applyFont="1" applyFill="1" applyBorder="1" applyAlignment="1">
      <alignment vertical="center"/>
    </xf>
    <xf numFmtId="0" fontId="30" fillId="0" borderId="21" xfId="7" applyFont="1" applyFill="1" applyBorder="1" applyAlignment="1">
      <alignment vertical="center"/>
    </xf>
    <xf numFmtId="0" fontId="30" fillId="0" borderId="0" xfId="7" applyFont="1" applyFill="1" applyBorder="1" applyAlignment="1">
      <alignment vertical="center"/>
    </xf>
    <xf numFmtId="0" fontId="29" fillId="0" borderId="0" xfId="6" applyFont="1" applyFill="1" applyBorder="1" applyAlignment="1" applyProtection="1">
      <protection hidden="1"/>
    </xf>
    <xf numFmtId="0" fontId="38" fillId="0" borderId="0" xfId="0" applyFont="1" applyAlignment="1"/>
    <xf numFmtId="0" fontId="38" fillId="0" borderId="11" xfId="0" applyFont="1" applyBorder="1" applyAlignment="1">
      <alignment horizontal="center" vertical="center"/>
    </xf>
    <xf numFmtId="0" fontId="38" fillId="0" borderId="22" xfId="0" applyFont="1" applyBorder="1" applyAlignment="1">
      <alignment horizontal="center" vertical="center"/>
    </xf>
    <xf numFmtId="0" fontId="38" fillId="0" borderId="10" xfId="0" applyFont="1" applyBorder="1" applyAlignment="1">
      <alignment vertical="center"/>
    </xf>
    <xf numFmtId="0" fontId="38" fillId="0" borderId="11" xfId="0" applyFont="1" applyBorder="1" applyAlignment="1">
      <alignment vertical="center"/>
    </xf>
    <xf numFmtId="0" fontId="38" fillId="0" borderId="22" xfId="0" applyFont="1" applyFill="1" applyBorder="1" applyAlignment="1">
      <alignment horizontal="center" vertical="center"/>
    </xf>
    <xf numFmtId="0" fontId="38" fillId="0" borderId="10" xfId="0" applyFont="1" applyFill="1" applyBorder="1" applyAlignment="1">
      <alignment vertical="center"/>
    </xf>
    <xf numFmtId="0" fontId="38" fillId="0" borderId="10" xfId="0" applyFont="1" applyFill="1" applyBorder="1" applyAlignment="1">
      <alignment horizontal="center" vertical="center"/>
    </xf>
    <xf numFmtId="0" fontId="38" fillId="0" borderId="0" xfId="0" applyFont="1" applyAlignment="1">
      <alignment horizontal="center" vertical="center"/>
    </xf>
    <xf numFmtId="0" fontId="38" fillId="0" borderId="0" xfId="0" applyFont="1" applyAlignment="1"/>
    <xf numFmtId="0" fontId="38" fillId="0" borderId="0" xfId="0" applyFont="1" applyBorder="1" applyAlignment="1">
      <alignment vertical="center"/>
    </xf>
    <xf numFmtId="0" fontId="38" fillId="0" borderId="11" xfId="0" applyFont="1" applyBorder="1" applyAlignment="1">
      <alignment horizontal="left" vertical="center"/>
    </xf>
    <xf numFmtId="0" fontId="38" fillId="0" borderId="11" xfId="0" applyFont="1" applyBorder="1" applyAlignment="1">
      <alignment horizontal="right" vertical="center"/>
    </xf>
    <xf numFmtId="0" fontId="38" fillId="0" borderId="0" xfId="0" applyFont="1" applyAlignment="1">
      <alignment horizontal="right"/>
    </xf>
    <xf numFmtId="0" fontId="0" fillId="0" borderId="0" xfId="0" applyBorder="1" applyAlignment="1"/>
    <xf numFmtId="0" fontId="38" fillId="0" borderId="0" xfId="0" applyFont="1" applyBorder="1" applyAlignment="1">
      <alignment horizontal="center" vertical="center"/>
    </xf>
    <xf numFmtId="0" fontId="38" fillId="0" borderId="0" xfId="0" applyFont="1" applyBorder="1" applyAlignment="1">
      <alignment horizontal="right" vertical="center"/>
    </xf>
    <xf numFmtId="0" fontId="38" fillId="0" borderId="10" xfId="0" applyFont="1" applyBorder="1" applyAlignment="1">
      <alignment horizontal="left" vertical="center"/>
    </xf>
    <xf numFmtId="0" fontId="35" fillId="0" borderId="0" xfId="0" applyFont="1" applyAlignment="1">
      <alignment vertical="center"/>
    </xf>
    <xf numFmtId="0" fontId="35" fillId="0" borderId="11" xfId="0" applyFont="1" applyBorder="1" applyAlignment="1">
      <alignment vertical="center"/>
    </xf>
    <xf numFmtId="0" fontId="35" fillId="0" borderId="10" xfId="0" applyFont="1" applyBorder="1" applyAlignment="1">
      <alignment vertical="center"/>
    </xf>
    <xf numFmtId="0" fontId="0" fillId="0" borderId="0" xfId="0" applyFont="1" applyAlignment="1"/>
    <xf numFmtId="39" fontId="7" fillId="0" borderId="18" xfId="10" applyNumberFormat="1" applyFont="1" applyBorder="1" applyAlignment="1" applyProtection="1">
      <alignment horizontal="left"/>
    </xf>
    <xf numFmtId="39" fontId="7" fillId="0" borderId="15" xfId="10" applyNumberFormat="1" applyFont="1" applyBorder="1" applyAlignment="1" applyProtection="1">
      <alignment horizontal="left"/>
    </xf>
    <xf numFmtId="0" fontId="38" fillId="0" borderId="18" xfId="0" applyFont="1" applyBorder="1">
      <alignment vertical="center"/>
    </xf>
    <xf numFmtId="39" fontId="9" fillId="0" borderId="15" xfId="10" applyNumberFormat="1" applyFont="1" applyBorder="1" applyAlignment="1" applyProtection="1">
      <alignment horizontal="left"/>
    </xf>
    <xf numFmtId="39" fontId="7" fillId="0" borderId="15" xfId="10" applyNumberFormat="1" applyFont="1" applyFill="1" applyBorder="1" applyAlignment="1" applyProtection="1">
      <alignment horizontal="left"/>
    </xf>
    <xf numFmtId="39" fontId="7" fillId="0" borderId="0" xfId="0" applyNumberFormat="1" applyFont="1" applyBorder="1" applyAlignment="1" applyProtection="1"/>
    <xf numFmtId="39" fontId="24" fillId="0" borderId="0" xfId="10" applyNumberFormat="1" applyFont="1" applyBorder="1" applyAlignment="1" applyProtection="1"/>
    <xf numFmtId="181" fontId="24" fillId="0" borderId="0" xfId="10" applyNumberFormat="1" applyFont="1" applyBorder="1" applyAlignment="1" applyProtection="1"/>
    <xf numFmtId="39" fontId="7" fillId="0" borderId="0" xfId="10" applyNumberFormat="1" applyFont="1" applyBorder="1" applyAlignment="1" applyProtection="1"/>
    <xf numFmtId="0" fontId="41" fillId="0" borderId="10" xfId="0" applyFont="1" applyBorder="1" applyAlignment="1">
      <alignment horizontal="center" vertical="top" wrapText="1"/>
    </xf>
    <xf numFmtId="0" fontId="42" fillId="0" borderId="10" xfId="0" applyFont="1" applyBorder="1" applyAlignment="1">
      <alignment horizontal="left" vertical="top" wrapText="1"/>
    </xf>
    <xf numFmtId="39" fontId="9" fillId="0" borderId="0" xfId="0" applyNumberFormat="1" applyFont="1" applyBorder="1" applyAlignment="1" applyProtection="1"/>
    <xf numFmtId="39" fontId="9" fillId="0" borderId="14" xfId="0" applyNumberFormat="1" applyFont="1" applyFill="1" applyBorder="1" applyAlignment="1" applyProtection="1"/>
    <xf numFmtId="39" fontId="9" fillId="0" borderId="10" xfId="0" applyNumberFormat="1" applyFont="1" applyFill="1" applyBorder="1" applyAlignment="1" applyProtection="1">
      <alignment horizontal="center" wrapText="1"/>
    </xf>
    <xf numFmtId="39" fontId="9" fillId="0" borderId="18" xfId="0" applyNumberFormat="1" applyFont="1" applyFill="1" applyBorder="1" applyAlignment="1" applyProtection="1"/>
    <xf numFmtId="39" fontId="9" fillId="0" borderId="14" xfId="7" applyNumberFormat="1" applyFont="1" applyFill="1" applyBorder="1" applyAlignment="1" applyProtection="1"/>
    <xf numFmtId="39" fontId="9" fillId="0" borderId="18" xfId="0" applyNumberFormat="1" applyFont="1" applyFill="1" applyBorder="1" applyAlignment="1" applyProtection="1">
      <alignment horizontal="left" vertical="center"/>
    </xf>
    <xf numFmtId="39" fontId="9" fillId="0" borderId="11" xfId="0" applyNumberFormat="1" applyFont="1" applyFill="1" applyBorder="1" applyAlignment="1" applyProtection="1"/>
    <xf numFmtId="39" fontId="9" fillId="0" borderId="18" xfId="7" applyNumberFormat="1" applyFont="1" applyFill="1" applyBorder="1" applyAlignment="1" applyProtection="1"/>
    <xf numFmtId="39" fontId="7" fillId="0" borderId="11" xfId="0" applyNumberFormat="1" applyFont="1" applyFill="1" applyBorder="1" applyAlignment="1" applyProtection="1"/>
    <xf numFmtId="39" fontId="7" fillId="0" borderId="14" xfId="7" applyNumberFormat="1" applyFont="1" applyFill="1" applyBorder="1" applyAlignment="1" applyProtection="1"/>
    <xf numFmtId="39" fontId="7" fillId="0" borderId="11" xfId="7" applyNumberFormat="1" applyFont="1" applyFill="1" applyBorder="1" applyAlignment="1" applyProtection="1"/>
    <xf numFmtId="39" fontId="7" fillId="0" borderId="18" xfId="10" applyNumberFormat="1" applyFont="1" applyFill="1" applyBorder="1" applyAlignment="1" applyProtection="1"/>
    <xf numFmtId="39" fontId="9" fillId="0" borderId="18" xfId="10" applyNumberFormat="1" applyFont="1" applyFill="1" applyBorder="1" applyAlignment="1" applyProtection="1"/>
    <xf numFmtId="39" fontId="7" fillId="0" borderId="18" xfId="0" applyNumberFormat="1" applyFont="1" applyFill="1" applyBorder="1" applyAlignment="1" applyProtection="1">
      <alignment horizontal="right" vertical="center"/>
    </xf>
    <xf numFmtId="39" fontId="9" fillId="0" borderId="14" xfId="10" applyNumberFormat="1" applyFont="1" applyFill="1" applyBorder="1" applyAlignment="1" applyProtection="1">
      <alignment vertical="center"/>
    </xf>
    <xf numFmtId="39" fontId="7" fillId="0" borderId="15" xfId="0" applyNumberFormat="1" applyFont="1" applyBorder="1" applyAlignment="1" applyProtection="1">
      <alignment horizontal="left"/>
    </xf>
    <xf numFmtId="39" fontId="7" fillId="0" borderId="0" xfId="0" applyNumberFormat="1" applyFont="1" applyBorder="1" applyAlignment="1" applyProtection="1">
      <alignment horizontal="left"/>
    </xf>
    <xf numFmtId="39" fontId="7" fillId="0" borderId="0" xfId="0" applyNumberFormat="1" applyFont="1" applyBorder="1" applyAlignment="1" applyProtection="1">
      <protection locked="0"/>
    </xf>
    <xf numFmtId="0" fontId="35" fillId="0" borderId="10" xfId="0" applyFont="1" applyBorder="1" applyAlignment="1">
      <alignment horizontal="center" vertical="center"/>
    </xf>
    <xf numFmtId="179" fontId="31" fillId="0" borderId="14" xfId="7" applyNumberFormat="1" applyFont="1" applyFill="1" applyBorder="1" applyAlignment="1">
      <alignment horizontal="center" vertical="center"/>
    </xf>
    <xf numFmtId="0" fontId="38" fillId="0" borderId="10" xfId="0" applyFont="1" applyBorder="1" applyAlignment="1">
      <alignment horizontal="center" vertical="center"/>
    </xf>
    <xf numFmtId="0" fontId="35" fillId="0" borderId="10" xfId="0" applyFont="1" applyBorder="1" applyAlignment="1">
      <alignment horizontal="center" vertical="center"/>
    </xf>
    <xf numFmtId="0" fontId="38" fillId="0" borderId="11" xfId="0" applyFont="1" applyBorder="1" applyAlignment="1">
      <alignment horizontal="left" vertical="center"/>
    </xf>
    <xf numFmtId="176" fontId="30" fillId="0" borderId="23" xfId="2" quotePrefix="1" applyNumberFormat="1" applyFont="1" applyFill="1" applyBorder="1" applyAlignment="1">
      <alignment horizontal="center" vertical="center"/>
    </xf>
    <xf numFmtId="0" fontId="30" fillId="0" borderId="0" xfId="2" applyFont="1" applyFill="1" applyBorder="1" applyAlignment="1">
      <alignment horizontal="right" vertical="center"/>
    </xf>
    <xf numFmtId="0" fontId="30" fillId="0" borderId="24" xfId="1" applyFont="1" applyFill="1" applyBorder="1" applyAlignment="1">
      <alignment horizontal="right" vertical="center"/>
    </xf>
    <xf numFmtId="176" fontId="30" fillId="0" borderId="9" xfId="2" applyNumberFormat="1" applyFont="1" applyFill="1" applyBorder="1" applyAlignment="1">
      <alignment horizontal="center" vertical="center"/>
    </xf>
    <xf numFmtId="0" fontId="30" fillId="0" borderId="24" xfId="2" applyFont="1" applyFill="1" applyBorder="1" applyAlignment="1">
      <alignment horizontal="right" vertical="center"/>
    </xf>
    <xf numFmtId="176" fontId="30" fillId="0" borderId="24" xfId="1" applyNumberFormat="1" applyFont="1" applyFill="1" applyBorder="1" applyAlignment="1">
      <alignment horizontal="center" vertical="center"/>
    </xf>
    <xf numFmtId="177" fontId="30" fillId="0" borderId="24" xfId="1" applyNumberFormat="1" applyFont="1" applyFill="1" applyBorder="1" applyAlignment="1">
      <alignment horizontal="right" vertical="center"/>
    </xf>
    <xf numFmtId="0" fontId="30" fillId="0" borderId="0" xfId="10" applyNumberFormat="1" applyFont="1" applyAlignment="1">
      <alignment horizontal="center" vertical="center"/>
    </xf>
    <xf numFmtId="0" fontId="30" fillId="0" borderId="0" xfId="8" applyFont="1" applyAlignment="1">
      <alignment vertical="center"/>
    </xf>
    <xf numFmtId="0" fontId="31" fillId="0" borderId="10" xfId="10" applyNumberFormat="1" applyFont="1" applyBorder="1" applyAlignment="1">
      <alignment horizontal="center" vertical="center"/>
    </xf>
    <xf numFmtId="0" fontId="30" fillId="0" borderId="10" xfId="10" applyNumberFormat="1" applyFont="1" applyBorder="1" applyAlignment="1">
      <alignment vertical="center"/>
    </xf>
    <xf numFmtId="0" fontId="30" fillId="0" borderId="10" xfId="10" applyNumberFormat="1" applyFont="1" applyFill="1" applyBorder="1" applyAlignment="1">
      <alignment horizontal="center" vertical="center"/>
    </xf>
    <xf numFmtId="179" fontId="30" fillId="0" borderId="10" xfId="13" applyNumberFormat="1" applyFont="1" applyFill="1" applyBorder="1" applyAlignment="1">
      <alignment horizontal="center" vertical="center"/>
    </xf>
    <xf numFmtId="0" fontId="38" fillId="0" borderId="10" xfId="0" applyFont="1" applyBorder="1">
      <alignment vertical="center"/>
    </xf>
    <xf numFmtId="0" fontId="30" fillId="0" borderId="0" xfId="1" applyFont="1" applyFill="1" applyAlignment="1">
      <alignment horizontal="center" vertical="center"/>
    </xf>
    <xf numFmtId="176" fontId="30" fillId="0" borderId="0" xfId="1" applyNumberFormat="1" applyFont="1" applyFill="1" applyAlignment="1">
      <alignment horizontal="center" vertical="center"/>
    </xf>
    <xf numFmtId="177" fontId="30" fillId="0" borderId="0" xfId="1" applyNumberFormat="1" applyFont="1" applyFill="1" applyAlignment="1">
      <alignment horizontal="center" vertical="center"/>
    </xf>
    <xf numFmtId="0" fontId="30" fillId="0" borderId="0" xfId="1" applyFont="1" applyFill="1" applyAlignment="1">
      <alignment horizontal="right" vertical="center"/>
    </xf>
    <xf numFmtId="0" fontId="38" fillId="0" borderId="0" xfId="1" applyFont="1" applyFill="1" applyAlignment="1">
      <alignment horizontal="right" vertical="center"/>
    </xf>
    <xf numFmtId="177" fontId="30" fillId="0" borderId="9" xfId="1" quotePrefix="1" applyNumberFormat="1" applyFont="1" applyFill="1" applyBorder="1" applyAlignment="1">
      <alignment horizontal="center" vertical="center"/>
    </xf>
    <xf numFmtId="0" fontId="7" fillId="0" borderId="0" xfId="1" applyFont="1" applyFill="1" applyAlignment="1">
      <alignment horizontal="right" vertical="center"/>
    </xf>
    <xf numFmtId="176" fontId="31" fillId="0" borderId="11" xfId="1" applyNumberFormat="1" applyFont="1" applyFill="1" applyBorder="1" applyAlignment="1">
      <alignment horizontal="left" vertical="center"/>
    </xf>
    <xf numFmtId="176" fontId="30" fillId="3" borderId="11" xfId="1" applyNumberFormat="1" applyFont="1" applyFill="1" applyBorder="1" applyAlignment="1">
      <alignment horizontal="left" vertical="center" wrapText="1"/>
    </xf>
    <xf numFmtId="0" fontId="30" fillId="0" borderId="10" xfId="1" applyFont="1" applyFill="1" applyBorder="1" applyAlignment="1">
      <alignment horizontal="left" vertical="center"/>
    </xf>
    <xf numFmtId="0" fontId="30" fillId="0" borderId="11" xfId="1" applyFont="1" applyFill="1" applyBorder="1" applyAlignment="1">
      <alignment horizontal="left" vertical="center"/>
    </xf>
    <xf numFmtId="0" fontId="30" fillId="0" borderId="0" xfId="1" applyFont="1" applyFill="1" applyAlignment="1">
      <alignment horizontal="left" vertical="center"/>
    </xf>
    <xf numFmtId="176" fontId="30" fillId="0" borderId="11" xfId="1" applyNumberFormat="1" applyFont="1" applyFill="1" applyBorder="1" applyAlignment="1">
      <alignment horizontal="left" vertical="center" wrapText="1"/>
    </xf>
    <xf numFmtId="0" fontId="30" fillId="0" borderId="11" xfId="1" applyFont="1" applyFill="1" applyBorder="1" applyAlignment="1">
      <alignment horizontal="left" vertical="center" shrinkToFit="1"/>
    </xf>
    <xf numFmtId="176" fontId="31" fillId="0" borderId="11" xfId="1" applyNumberFormat="1" applyFont="1" applyFill="1" applyBorder="1" applyAlignment="1">
      <alignment horizontal="center" vertical="center"/>
    </xf>
    <xf numFmtId="0" fontId="30" fillId="0" borderId="11" xfId="1" applyFont="1" applyFill="1" applyBorder="1" applyAlignment="1">
      <alignment horizontal="right" vertical="center"/>
    </xf>
    <xf numFmtId="176" fontId="30" fillId="3" borderId="10" xfId="1" applyNumberFormat="1" applyFont="1" applyFill="1" applyBorder="1" applyAlignment="1">
      <alignment horizontal="left" vertical="center"/>
    </xf>
    <xf numFmtId="49" fontId="30" fillId="0" borderId="10" xfId="1" applyNumberFormat="1" applyFont="1" applyFill="1" applyBorder="1" applyAlignment="1">
      <alignment horizontal="left" vertical="center"/>
    </xf>
    <xf numFmtId="176" fontId="31" fillId="0" borderId="17" xfId="1" quotePrefix="1" applyNumberFormat="1" applyFont="1" applyFill="1" applyBorder="1" applyAlignment="1">
      <alignment horizontal="center" vertical="center"/>
    </xf>
    <xf numFmtId="176" fontId="31" fillId="0" borderId="25" xfId="1" quotePrefix="1" applyNumberFormat="1" applyFont="1" applyFill="1" applyBorder="1" applyAlignment="1">
      <alignment horizontal="center" vertical="center"/>
    </xf>
    <xf numFmtId="176" fontId="31" fillId="0" borderId="12" xfId="1" quotePrefix="1" applyNumberFormat="1" applyFont="1" applyFill="1" applyBorder="1" applyAlignment="1">
      <alignment horizontal="center" vertical="center"/>
    </xf>
    <xf numFmtId="0" fontId="30" fillId="0" borderId="11" xfId="4" applyNumberFormat="1" applyFont="1" applyFill="1" applyBorder="1" applyAlignment="1">
      <alignment horizontal="left" vertical="center"/>
    </xf>
    <xf numFmtId="0" fontId="31" fillId="0" borderId="0" xfId="4" applyNumberFormat="1" applyFont="1" applyFill="1" applyBorder="1" applyAlignment="1">
      <alignment vertical="center"/>
    </xf>
    <xf numFmtId="0" fontId="30" fillId="0" borderId="0" xfId="4" applyNumberFormat="1" applyFont="1" applyFill="1" applyBorder="1" applyAlignment="1">
      <alignment vertical="center"/>
    </xf>
    <xf numFmtId="4" fontId="30" fillId="0" borderId="0" xfId="4" applyNumberFormat="1" applyFont="1" applyFill="1" applyBorder="1" applyAlignment="1">
      <alignment vertical="center"/>
    </xf>
    <xf numFmtId="179" fontId="30" fillId="0" borderId="0" xfId="4" applyNumberFormat="1" applyFont="1" applyFill="1" applyBorder="1" applyAlignment="1">
      <alignment vertical="center"/>
    </xf>
    <xf numFmtId="43" fontId="30" fillId="0" borderId="0" xfId="10" applyFont="1" applyFill="1" applyBorder="1" applyAlignment="1">
      <alignment vertical="center"/>
    </xf>
    <xf numFmtId="4" fontId="30" fillId="0" borderId="0" xfId="0" applyNumberFormat="1" applyFont="1" applyAlignment="1">
      <alignment horizontal="right" vertical="center" wrapText="1"/>
    </xf>
    <xf numFmtId="179" fontId="31" fillId="0" borderId="0" xfId="4" applyNumberFormat="1" applyFont="1" applyFill="1" applyBorder="1" applyAlignment="1">
      <alignment vertical="center"/>
    </xf>
    <xf numFmtId="0" fontId="30" fillId="0" borderId="0" xfId="0" applyFont="1" applyAlignment="1">
      <alignment horizontal="right" vertical="center" wrapText="1"/>
    </xf>
    <xf numFmtId="0" fontId="31" fillId="0" borderId="0" xfId="7" applyFont="1" applyFill="1" applyAlignment="1">
      <alignment horizontal="center" vertical="center"/>
    </xf>
    <xf numFmtId="179" fontId="33" fillId="0" borderId="0" xfId="4" applyNumberFormat="1" applyFont="1" applyFill="1" applyBorder="1" applyAlignment="1">
      <alignment horizontal="right" vertical="center"/>
    </xf>
    <xf numFmtId="43" fontId="30" fillId="0" borderId="0" xfId="10" applyFont="1" applyFill="1" applyBorder="1" applyAlignment="1">
      <alignment horizontal="center" vertical="center"/>
    </xf>
    <xf numFmtId="179" fontId="30" fillId="0" borderId="0" xfId="4" applyNumberFormat="1" applyFont="1" applyFill="1" applyBorder="1" applyAlignment="1">
      <alignment horizontal="center" vertical="center"/>
    </xf>
    <xf numFmtId="179" fontId="30" fillId="0" borderId="0" xfId="7" applyNumberFormat="1" applyFont="1" applyFill="1" applyBorder="1" applyAlignment="1">
      <alignment horizontal="center" vertical="center"/>
    </xf>
    <xf numFmtId="0" fontId="30" fillId="0" borderId="11" xfId="7" applyFont="1" applyFill="1" applyBorder="1" applyAlignment="1">
      <alignment horizontal="center" vertical="center"/>
    </xf>
    <xf numFmtId="0" fontId="10" fillId="0" borderId="0" xfId="6" applyFont="1" applyAlignment="1" applyProtection="1">
      <alignment vertical="center"/>
      <protection hidden="1"/>
    </xf>
    <xf numFmtId="0" fontId="30" fillId="0" borderId="0" xfId="6" applyFont="1" applyAlignment="1" applyProtection="1">
      <alignment horizontal="center" vertical="center"/>
      <protection hidden="1"/>
    </xf>
    <xf numFmtId="43" fontId="30" fillId="0" borderId="0" xfId="6" applyNumberFormat="1" applyFont="1" applyAlignment="1" applyProtection="1">
      <alignment horizontal="center" vertical="center"/>
      <protection hidden="1"/>
    </xf>
    <xf numFmtId="0" fontId="30" fillId="0" borderId="0" xfId="6" applyFont="1" applyAlignment="1" applyProtection="1">
      <alignment vertical="center"/>
      <protection hidden="1"/>
    </xf>
    <xf numFmtId="0" fontId="33" fillId="0" borderId="0" xfId="4" applyNumberFormat="1" applyFont="1" applyFill="1" applyBorder="1" applyAlignment="1">
      <alignment horizontal="center" vertical="center"/>
    </xf>
    <xf numFmtId="0" fontId="10" fillId="0" borderId="0" xfId="6" applyFont="1" applyFill="1" applyAlignment="1" applyProtection="1">
      <alignment vertical="center"/>
      <protection hidden="1"/>
    </xf>
    <xf numFmtId="0" fontId="8" fillId="0" borderId="0" xfId="6" applyFont="1" applyBorder="1" applyAlignment="1" applyProtection="1">
      <alignment vertical="center"/>
      <protection hidden="1"/>
    </xf>
    <xf numFmtId="0" fontId="31" fillId="0" borderId="11" xfId="6" applyFont="1" applyBorder="1" applyAlignment="1" applyProtection="1">
      <alignment horizontal="center" vertical="center"/>
      <protection hidden="1"/>
    </xf>
    <xf numFmtId="43" fontId="31" fillId="0" borderId="11" xfId="14" applyFont="1" applyBorder="1" applyAlignment="1" applyProtection="1">
      <alignment horizontal="center" vertical="center"/>
      <protection hidden="1"/>
    </xf>
    <xf numFmtId="0" fontId="31" fillId="0" borderId="14" xfId="6" applyFont="1" applyBorder="1" applyAlignment="1" applyProtection="1">
      <alignment horizontal="center" vertical="center"/>
      <protection hidden="1"/>
    </xf>
    <xf numFmtId="43" fontId="31" fillId="0" borderId="10" xfId="14" applyFont="1" applyBorder="1" applyAlignment="1" applyProtection="1">
      <alignment horizontal="center" vertical="center"/>
      <protection hidden="1"/>
    </xf>
    <xf numFmtId="0" fontId="8" fillId="0" borderId="0" xfId="6" applyFont="1" applyFill="1" applyBorder="1" applyAlignment="1" applyProtection="1">
      <alignment vertical="center"/>
      <protection hidden="1"/>
    </xf>
    <xf numFmtId="0" fontId="8" fillId="0" borderId="0" xfId="6" applyFont="1" applyAlignment="1" applyProtection="1">
      <alignment vertical="center"/>
      <protection hidden="1"/>
    </xf>
    <xf numFmtId="0" fontId="10" fillId="0" borderId="0" xfId="6" applyFont="1" applyBorder="1" applyAlignment="1" applyProtection="1">
      <alignment vertical="center"/>
      <protection hidden="1"/>
    </xf>
    <xf numFmtId="0" fontId="31" fillId="0" borderId="11" xfId="6" applyFont="1" applyBorder="1" applyAlignment="1" applyProtection="1">
      <alignment vertical="center"/>
      <protection hidden="1"/>
    </xf>
    <xf numFmtId="0" fontId="30" fillId="0" borderId="10" xfId="6" applyFont="1" applyBorder="1" applyAlignment="1" applyProtection="1">
      <alignment horizontal="left" vertical="center"/>
      <protection hidden="1"/>
    </xf>
    <xf numFmtId="0" fontId="10" fillId="0" borderId="0" xfId="6" applyFont="1" applyFill="1" applyBorder="1" applyAlignment="1" applyProtection="1">
      <alignment vertical="center"/>
      <protection hidden="1"/>
    </xf>
    <xf numFmtId="0" fontId="30" fillId="0" borderId="11" xfId="6" applyFont="1" applyBorder="1" applyAlignment="1" applyProtection="1">
      <alignment vertical="center"/>
      <protection hidden="1"/>
    </xf>
    <xf numFmtId="0" fontId="30" fillId="0" borderId="10" xfId="6" applyFont="1" applyBorder="1" applyAlignment="1" applyProtection="1">
      <alignment vertical="center"/>
      <protection hidden="1"/>
    </xf>
    <xf numFmtId="0" fontId="30" fillId="0" borderId="11" xfId="6" applyFont="1" applyFill="1" applyBorder="1" applyAlignment="1" applyProtection="1">
      <alignment vertical="center"/>
      <protection hidden="1"/>
    </xf>
    <xf numFmtId="43" fontId="10" fillId="0" borderId="0" xfId="10" applyFont="1" applyFill="1" applyBorder="1" applyAlignment="1" applyProtection="1">
      <alignment vertical="center"/>
      <protection hidden="1"/>
    </xf>
    <xf numFmtId="43" fontId="10" fillId="0" borderId="0" xfId="10" applyFont="1" applyBorder="1" applyAlignment="1" applyProtection="1">
      <alignment vertical="center"/>
      <protection hidden="1"/>
    </xf>
    <xf numFmtId="0" fontId="7" fillId="0" borderId="0" xfId="6" applyFont="1" applyAlignment="1" applyProtection="1">
      <alignment vertical="center"/>
      <protection hidden="1"/>
    </xf>
    <xf numFmtId="0" fontId="31" fillId="0" borderId="10" xfId="6" applyFont="1" applyBorder="1" applyAlignment="1" applyProtection="1">
      <alignment horizontal="center" vertical="center"/>
      <protection hidden="1"/>
    </xf>
    <xf numFmtId="179" fontId="10" fillId="0" borderId="0" xfId="6" applyNumberFormat="1" applyFont="1" applyBorder="1" applyAlignment="1" applyProtection="1">
      <alignment vertical="center"/>
      <protection hidden="1"/>
    </xf>
    <xf numFmtId="0" fontId="31" fillId="0" borderId="10" xfId="6" applyFont="1" applyBorder="1" applyAlignment="1" applyProtection="1">
      <alignment vertical="center"/>
      <protection hidden="1"/>
    </xf>
    <xf numFmtId="179" fontId="8" fillId="0" borderId="0" xfId="6" applyNumberFormat="1" applyFont="1" applyBorder="1" applyAlignment="1" applyProtection="1">
      <alignment vertical="center"/>
      <protection hidden="1"/>
    </xf>
    <xf numFmtId="0" fontId="7" fillId="0" borderId="0" xfId="6" applyFont="1" applyBorder="1" applyAlignment="1" applyProtection="1">
      <alignment vertical="center"/>
      <protection hidden="1"/>
    </xf>
    <xf numFmtId="43" fontId="8" fillId="0" borderId="0" xfId="14" applyFont="1" applyBorder="1" applyAlignment="1" applyProtection="1">
      <alignment horizontal="center" vertical="center"/>
      <protection hidden="1"/>
    </xf>
    <xf numFmtId="0" fontId="38" fillId="0" borderId="16" xfId="0" applyFont="1" applyFill="1" applyBorder="1" applyAlignment="1">
      <alignment horizontal="center" vertical="center"/>
    </xf>
    <xf numFmtId="0" fontId="0" fillId="0" borderId="0" xfId="0" applyFont="1">
      <alignment vertical="center"/>
    </xf>
    <xf numFmtId="0" fontId="45" fillId="0" borderId="0" xfId="2" applyFont="1" applyFill="1" applyAlignment="1">
      <alignment horizontal="right" vertical="center"/>
    </xf>
    <xf numFmtId="0" fontId="46" fillId="0" borderId="0" xfId="4" applyNumberFormat="1" applyFont="1" applyFill="1" applyBorder="1" applyAlignment="1">
      <alignment vertical="center"/>
    </xf>
    <xf numFmtId="0" fontId="47" fillId="0" borderId="0" xfId="0" applyFont="1">
      <alignment vertical="center"/>
    </xf>
    <xf numFmtId="0" fontId="48" fillId="0" borderId="0" xfId="0" applyFont="1" applyAlignment="1">
      <alignment vertical="center"/>
    </xf>
    <xf numFmtId="0" fontId="49" fillId="0" borderId="0" xfId="0" applyFont="1">
      <alignment vertical="center"/>
    </xf>
    <xf numFmtId="0" fontId="47" fillId="0" borderId="0" xfId="0" applyFont="1">
      <alignment vertical="center"/>
    </xf>
    <xf numFmtId="39" fontId="25" fillId="0" borderId="0" xfId="0" applyNumberFormat="1" applyFont="1" applyBorder="1" applyAlignment="1" applyProtection="1">
      <protection locked="0"/>
    </xf>
    <xf numFmtId="39" fontId="25" fillId="0" borderId="0" xfId="0" applyNumberFormat="1" applyFont="1" applyBorder="1" applyAlignment="1" applyProtection="1"/>
    <xf numFmtId="0" fontId="47" fillId="0" borderId="0" xfId="0" applyFont="1" applyAlignment="1"/>
    <xf numFmtId="0" fontId="45" fillId="0" borderId="0" xfId="0" applyFont="1" applyFill="1" applyAlignment="1"/>
    <xf numFmtId="0" fontId="45" fillId="0" borderId="0" xfId="0" applyFont="1" applyAlignment="1">
      <alignment vertical="center"/>
    </xf>
    <xf numFmtId="0" fontId="38" fillId="0" borderId="26" xfId="0" applyFont="1" applyBorder="1" applyAlignment="1">
      <alignment vertical="center"/>
    </xf>
    <xf numFmtId="43" fontId="38" fillId="0" borderId="10" xfId="0" applyNumberFormat="1" applyFont="1" applyBorder="1">
      <alignment vertical="center"/>
    </xf>
    <xf numFmtId="43" fontId="35" fillId="0" borderId="10" xfId="0" applyNumberFormat="1" applyFont="1" applyBorder="1" applyAlignment="1">
      <alignment horizontal="center" vertical="center"/>
    </xf>
    <xf numFmtId="43" fontId="35" fillId="0" borderId="10" xfId="0" applyNumberFormat="1" applyFont="1" applyBorder="1">
      <alignment vertical="center"/>
    </xf>
    <xf numFmtId="0" fontId="30" fillId="0" borderId="0" xfId="0" applyFont="1" applyAlignment="1">
      <alignment vertical="center"/>
    </xf>
    <xf numFmtId="0" fontId="30" fillId="0" borderId="0" xfId="6" applyFont="1" applyFill="1" applyBorder="1" applyAlignment="1" applyProtection="1">
      <alignment horizontal="center" vertical="center"/>
      <protection hidden="1"/>
    </xf>
    <xf numFmtId="179" fontId="30" fillId="0" borderId="0" xfId="6" applyNumberFormat="1" applyFont="1" applyFill="1" applyBorder="1" applyAlignment="1" applyProtection="1">
      <alignment vertical="center"/>
      <protection hidden="1"/>
    </xf>
    <xf numFmtId="179" fontId="31" fillId="0" borderId="0" xfId="6" applyNumberFormat="1" applyFont="1" applyFill="1" applyBorder="1" applyAlignment="1" applyProtection="1">
      <alignment horizontal="right" vertical="center"/>
      <protection hidden="1"/>
    </xf>
    <xf numFmtId="0" fontId="31" fillId="0" borderId="10" xfId="6" applyFont="1" applyFill="1" applyBorder="1" applyAlignment="1" applyProtection="1">
      <alignment horizontal="center" vertical="center"/>
      <protection hidden="1"/>
    </xf>
    <xf numFmtId="179" fontId="31" fillId="0" borderId="10" xfId="14" applyNumberFormat="1" applyFont="1" applyFill="1" applyBorder="1" applyAlignment="1" applyProtection="1">
      <alignment horizontal="center" vertical="center"/>
      <protection hidden="1"/>
    </xf>
    <xf numFmtId="0" fontId="31" fillId="0" borderId="10" xfId="6" applyFont="1" applyFill="1" applyBorder="1" applyAlignment="1" applyProtection="1">
      <alignment vertical="center"/>
      <protection hidden="1"/>
    </xf>
    <xf numFmtId="0" fontId="30" fillId="0" borderId="10" xfId="6" applyFont="1" applyFill="1" applyBorder="1" applyAlignment="1" applyProtection="1">
      <alignment vertical="center"/>
      <protection hidden="1"/>
    </xf>
    <xf numFmtId="0" fontId="31" fillId="0" borderId="0" xfId="6" applyFont="1" applyFill="1" applyBorder="1" applyAlignment="1" applyProtection="1">
      <alignment vertical="center"/>
      <protection hidden="1"/>
    </xf>
    <xf numFmtId="43" fontId="50" fillId="0" borderId="0" xfId="9" applyNumberFormat="1" applyFont="1" applyFill="1" applyBorder="1" applyAlignment="1">
      <alignment horizontal="right" vertical="center"/>
    </xf>
    <xf numFmtId="0" fontId="30" fillId="0" borderId="0" xfId="0" applyNumberFormat="1" applyFont="1" applyFill="1" applyAlignment="1">
      <alignment vertical="center"/>
    </xf>
    <xf numFmtId="179" fontId="31" fillId="0" borderId="0" xfId="14" applyNumberFormat="1" applyFont="1" applyFill="1" applyBorder="1" applyAlignment="1" applyProtection="1">
      <alignment vertical="center"/>
      <protection hidden="1"/>
    </xf>
    <xf numFmtId="40" fontId="30" fillId="0" borderId="0" xfId="0" applyNumberFormat="1" applyFont="1" applyFill="1" applyAlignment="1">
      <alignment vertical="center"/>
    </xf>
    <xf numFmtId="176" fontId="30" fillId="0" borderId="10" xfId="1" quotePrefix="1" applyNumberFormat="1" applyFont="1" applyFill="1" applyBorder="1" applyAlignment="1">
      <alignment horizontal="right" vertical="center"/>
    </xf>
    <xf numFmtId="0" fontId="0" fillId="0" borderId="0" xfId="0">
      <alignment vertical="center"/>
    </xf>
    <xf numFmtId="0" fontId="38" fillId="0" borderId="10" xfId="3" applyFont="1" applyBorder="1" applyAlignment="1">
      <alignment vertical="center"/>
    </xf>
    <xf numFmtId="0" fontId="30" fillId="0" borderId="24" xfId="1" applyFont="1" applyFill="1" applyBorder="1" applyAlignment="1">
      <alignment horizontal="center" vertical="center"/>
    </xf>
    <xf numFmtId="0" fontId="32" fillId="0" borderId="13" xfId="1" applyFont="1" applyFill="1" applyBorder="1" applyAlignment="1">
      <alignment horizontal="center" vertical="center"/>
    </xf>
    <xf numFmtId="0" fontId="28" fillId="0" borderId="0" xfId="1" applyFont="1" applyFill="1" applyAlignment="1">
      <alignment horizontal="center" vertical="center"/>
    </xf>
    <xf numFmtId="0" fontId="29" fillId="0" borderId="0" xfId="1" applyFont="1" applyFill="1" applyAlignment="1">
      <alignment horizontal="center" vertical="center"/>
    </xf>
    <xf numFmtId="0" fontId="38" fillId="0" borderId="10" xfId="0" applyFont="1" applyBorder="1" applyAlignment="1">
      <alignment horizontal="left" vertical="center"/>
    </xf>
    <xf numFmtId="0" fontId="38" fillId="0" borderId="0" xfId="0" applyFont="1" applyBorder="1" applyAlignment="1">
      <alignment horizontal="center" vertical="center"/>
    </xf>
    <xf numFmtId="0" fontId="38" fillId="0" borderId="10" xfId="0" applyFont="1" applyBorder="1">
      <alignment vertical="center"/>
    </xf>
    <xf numFmtId="0" fontId="38" fillId="0" borderId="10" xfId="0" applyFont="1" applyBorder="1" applyAlignment="1" applyProtection="1">
      <alignment vertical="center"/>
      <protection locked="0"/>
    </xf>
    <xf numFmtId="0" fontId="38" fillId="0" borderId="10" xfId="0" applyFont="1" applyBorder="1" applyProtection="1">
      <alignment vertical="center"/>
      <protection locked="0"/>
    </xf>
    <xf numFmtId="0" fontId="38" fillId="0" borderId="0" xfId="0" applyFont="1" applyProtection="1">
      <alignment vertical="center"/>
      <protection locked="0"/>
    </xf>
    <xf numFmtId="0" fontId="38" fillId="0" borderId="10" xfId="0" applyFont="1" applyBorder="1">
      <alignment vertical="center"/>
    </xf>
    <xf numFmtId="0" fontId="38" fillId="0" borderId="10" xfId="3" applyFont="1" applyFill="1" applyBorder="1" applyAlignment="1">
      <alignment horizontal="right" vertical="center"/>
    </xf>
    <xf numFmtId="0" fontId="38" fillId="0" borderId="10" xfId="0" applyFont="1" applyBorder="1" applyAlignment="1">
      <alignment horizontal="right" vertical="center"/>
    </xf>
    <xf numFmtId="0" fontId="0" fillId="0" borderId="10" xfId="0" applyBorder="1">
      <alignment vertical="center"/>
    </xf>
    <xf numFmtId="0" fontId="38" fillId="0" borderId="10" xfId="0" applyFont="1" applyBorder="1" applyAlignment="1">
      <alignment horizontal="right" vertical="center"/>
    </xf>
    <xf numFmtId="0" fontId="38" fillId="0" borderId="10" xfId="0" applyFont="1" applyBorder="1" applyAlignment="1">
      <alignment horizontal="left" vertical="center"/>
    </xf>
    <xf numFmtId="0" fontId="38" fillId="0" borderId="10" xfId="3" applyFont="1" applyBorder="1" applyAlignment="1">
      <alignment horizontal="right" vertical="center"/>
    </xf>
    <xf numFmtId="0" fontId="38" fillId="0" borderId="10" xfId="0" applyFont="1" applyBorder="1" applyAlignment="1" applyProtection="1">
      <alignment horizontal="left" vertical="center"/>
      <protection locked="0"/>
    </xf>
    <xf numFmtId="0" fontId="51" fillId="0" borderId="0" xfId="0" applyFont="1">
      <alignment vertical="center"/>
    </xf>
    <xf numFmtId="0" fontId="52" fillId="0" borderId="0" xfId="0" applyFont="1" applyAlignment="1">
      <alignment horizontal="right" vertical="center"/>
    </xf>
    <xf numFmtId="0" fontId="41" fillId="0" borderId="10" xfId="0" applyFont="1" applyBorder="1">
      <alignment vertical="center"/>
    </xf>
    <xf numFmtId="0" fontId="35" fillId="0" borderId="10" xfId="0" applyFont="1" applyBorder="1" applyAlignment="1">
      <alignment horizontal="center" vertical="center"/>
    </xf>
    <xf numFmtId="0" fontId="35" fillId="0" borderId="10" xfId="0" applyFont="1" applyBorder="1" applyAlignment="1">
      <alignment horizontal="center" vertical="center"/>
    </xf>
    <xf numFmtId="0" fontId="38" fillId="0" borderId="10" xfId="0" applyFont="1" applyBorder="1" applyAlignment="1">
      <alignment horizontal="center" vertical="center"/>
    </xf>
    <xf numFmtId="0" fontId="35" fillId="0" borderId="10" xfId="0" applyFont="1" applyBorder="1" applyAlignment="1">
      <alignment horizontal="left" vertical="center"/>
    </xf>
    <xf numFmtId="0" fontId="7" fillId="0" borderId="0" xfId="0" applyFont="1" applyBorder="1" applyAlignment="1" applyProtection="1">
      <alignment vertical="center"/>
    </xf>
    <xf numFmtId="0" fontId="7" fillId="0" borderId="0" xfId="0" applyFont="1" applyBorder="1" applyAlignment="1" applyProtection="1">
      <alignment horizontal="right" vertical="center"/>
    </xf>
    <xf numFmtId="39" fontId="9" fillId="0" borderId="18" xfId="0" applyNumberFormat="1" applyFont="1" applyBorder="1" applyAlignment="1" applyProtection="1">
      <alignment horizontal="centerContinuous" vertical="center" wrapText="1"/>
    </xf>
    <xf numFmtId="180" fontId="9" fillId="0" borderId="10" xfId="0" applyNumberFormat="1" applyFont="1" applyBorder="1" applyAlignment="1" applyProtection="1">
      <alignment horizontal="center" vertical="center" wrapText="1"/>
    </xf>
    <xf numFmtId="40" fontId="9" fillId="0" borderId="11" xfId="10" applyNumberFormat="1" applyFont="1" applyBorder="1" applyAlignment="1" applyProtection="1">
      <alignment horizontal="center" vertical="center" wrapText="1"/>
    </xf>
    <xf numFmtId="39" fontId="9" fillId="0" borderId="18" xfId="10" applyNumberFormat="1" applyFont="1" applyBorder="1" applyAlignment="1" applyProtection="1">
      <alignment vertical="center"/>
    </xf>
    <xf numFmtId="39" fontId="7" fillId="0" borderId="18" xfId="10" applyNumberFormat="1" applyFont="1" applyFill="1" applyBorder="1" applyAlignment="1" applyProtection="1">
      <alignment horizontal="left" vertical="center"/>
    </xf>
    <xf numFmtId="39" fontId="7" fillId="0" borderId="18" xfId="10" applyNumberFormat="1" applyFont="1" applyFill="1" applyBorder="1" applyAlignment="1" applyProtection="1">
      <alignment horizontal="left" vertical="center" wrapText="1"/>
    </xf>
    <xf numFmtId="39" fontId="9" fillId="0" borderId="18" xfId="10" applyNumberFormat="1" applyFont="1" applyFill="1" applyBorder="1" applyAlignment="1" applyProtection="1">
      <alignment horizontal="left" vertical="center"/>
    </xf>
    <xf numFmtId="39" fontId="7" fillId="0" borderId="18" xfId="10" applyNumberFormat="1" applyFont="1" applyBorder="1" applyAlignment="1" applyProtection="1">
      <alignment vertical="center"/>
    </xf>
    <xf numFmtId="39" fontId="9" fillId="0" borderId="18" xfId="10" applyNumberFormat="1" applyFont="1" applyBorder="1" applyAlignment="1" applyProtection="1">
      <alignment horizontal="centerContinuous" vertical="center"/>
    </xf>
    <xf numFmtId="39" fontId="9" fillId="0" borderId="15" xfId="10" applyNumberFormat="1" applyFont="1" applyBorder="1" applyAlignment="1" applyProtection="1">
      <alignment horizontal="centerContinuous" vertical="center"/>
    </xf>
    <xf numFmtId="39" fontId="9" fillId="0" borderId="10" xfId="10" applyNumberFormat="1" applyFont="1" applyBorder="1" applyAlignment="1" applyProtection="1">
      <alignment horizontal="centerContinuous" vertical="center"/>
    </xf>
    <xf numFmtId="39" fontId="9" fillId="0" borderId="18" xfId="7" applyNumberFormat="1" applyFont="1" applyFill="1" applyBorder="1" applyAlignment="1" applyProtection="1">
      <alignment vertical="center"/>
    </xf>
    <xf numFmtId="49" fontId="7" fillId="0" borderId="14" xfId="7" applyNumberFormat="1" applyFont="1" applyFill="1" applyBorder="1" applyAlignment="1" applyProtection="1">
      <alignment horizontal="left" vertical="center"/>
    </xf>
    <xf numFmtId="49" fontId="7" fillId="0" borderId="11" xfId="7" applyNumberFormat="1" applyFont="1" applyFill="1" applyBorder="1" applyAlignment="1" applyProtection="1">
      <alignment horizontal="left" vertical="center"/>
    </xf>
    <xf numFmtId="39" fontId="7" fillId="0" borderId="18" xfId="7" applyNumberFormat="1" applyFont="1" applyFill="1" applyBorder="1" applyAlignment="1" applyProtection="1">
      <alignment vertical="center"/>
    </xf>
    <xf numFmtId="0" fontId="35" fillId="0" borderId="11" xfId="0" applyFont="1" applyBorder="1" applyAlignment="1">
      <alignment horizontal="center" vertical="center"/>
    </xf>
    <xf numFmtId="0" fontId="36" fillId="0" borderId="10" xfId="3" applyFont="1" applyBorder="1" applyAlignment="1">
      <alignment horizontal="right" vertical="center"/>
    </xf>
    <xf numFmtId="0" fontId="38" fillId="0" borderId="10" xfId="0" applyFont="1" applyBorder="1">
      <alignment vertical="center"/>
    </xf>
    <xf numFmtId="0" fontId="36" fillId="0" borderId="10" xfId="3" applyFont="1" applyBorder="1" applyAlignment="1">
      <alignment vertical="center"/>
    </xf>
    <xf numFmtId="0" fontId="36" fillId="0" borderId="10" xfId="0" applyFont="1" applyBorder="1" applyProtection="1">
      <alignment vertical="center"/>
      <protection locked="0"/>
    </xf>
    <xf numFmtId="0" fontId="36" fillId="0" borderId="10" xfId="3" applyFont="1" applyFill="1" applyBorder="1" applyAlignment="1">
      <alignment horizontal="right" vertical="center"/>
    </xf>
    <xf numFmtId="0" fontId="36" fillId="0" borderId="10" xfId="0" applyFont="1" applyBorder="1" applyAlignment="1">
      <alignment horizontal="right" vertical="center"/>
    </xf>
    <xf numFmtId="0" fontId="36" fillId="0" borderId="10" xfId="0" applyFont="1" applyBorder="1" applyAlignment="1">
      <alignment horizontal="right" vertical="center"/>
    </xf>
    <xf numFmtId="14" fontId="36" fillId="0" borderId="10" xfId="0" applyNumberFormat="1" applyFont="1" applyBorder="1" applyAlignment="1">
      <alignment horizontal="center" vertical="center"/>
    </xf>
    <xf numFmtId="0" fontId="36" fillId="0" borderId="10" xfId="0" applyFont="1" applyBorder="1" applyAlignment="1" applyProtection="1">
      <alignment horizontal="center" vertical="center"/>
      <protection locked="0"/>
    </xf>
    <xf numFmtId="0" fontId="36" fillId="0" borderId="10" xfId="0" applyFont="1" applyBorder="1" applyAlignment="1">
      <alignment horizontal="center" vertical="center"/>
    </xf>
    <xf numFmtId="14" fontId="38" fillId="0" borderId="10" xfId="0" applyNumberFormat="1" applyFont="1" applyBorder="1">
      <alignment vertical="center"/>
    </xf>
    <xf numFmtId="0" fontId="38" fillId="0" borderId="10" xfId="0" applyFont="1" applyBorder="1">
      <alignment vertical="center"/>
    </xf>
    <xf numFmtId="0" fontId="38" fillId="0" borderId="10" xfId="3" applyFont="1" applyBorder="1" applyAlignment="1">
      <alignment horizontal="right" vertical="center" wrapText="1"/>
    </xf>
    <xf numFmtId="0" fontId="38" fillId="0" borderId="10" xfId="0" applyFont="1" applyBorder="1" applyAlignment="1">
      <alignment horizontal="right" vertical="center" wrapText="1"/>
    </xf>
    <xf numFmtId="0" fontId="38" fillId="4" borderId="10" xfId="3" applyFont="1" applyFill="1" applyBorder="1" applyAlignment="1" applyProtection="1">
      <alignment horizontal="center" vertical="center"/>
      <protection locked="0"/>
    </xf>
    <xf numFmtId="0" fontId="38" fillId="4" borderId="10" xfId="0" applyFont="1" applyFill="1" applyBorder="1" applyAlignment="1" applyProtection="1">
      <alignment horizontal="center" vertical="center"/>
      <protection locked="0"/>
    </xf>
    <xf numFmtId="0" fontId="38" fillId="0" borderId="14" xfId="3" applyFont="1" applyBorder="1" applyAlignment="1">
      <alignment horizontal="right" vertical="center"/>
    </xf>
    <xf numFmtId="0" fontId="38" fillId="0" borderId="10" xfId="0" applyFont="1" applyBorder="1">
      <alignment vertical="center"/>
    </xf>
    <xf numFmtId="0" fontId="0" fillId="3" borderId="0" xfId="0" applyFill="1">
      <alignment vertical="center"/>
    </xf>
    <xf numFmtId="0" fontId="38" fillId="0" borderId="16" xfId="0" applyFont="1" applyFill="1" applyBorder="1" applyAlignment="1">
      <alignment horizontal="right" vertical="center"/>
    </xf>
    <xf numFmtId="0" fontId="38" fillId="0" borderId="10" xfId="0" applyFont="1" applyBorder="1" applyAlignment="1" applyProtection="1">
      <alignment horizontal="center" vertical="center"/>
      <protection locked="0"/>
    </xf>
    <xf numFmtId="0" fontId="0" fillId="0" borderId="21" xfId="0" applyBorder="1" applyAlignment="1">
      <alignment horizontal="center" vertical="center"/>
    </xf>
    <xf numFmtId="0" fontId="38" fillId="0" borderId="14" xfId="0" applyFont="1" applyBorder="1" applyProtection="1">
      <alignment vertical="center"/>
      <protection locked="0"/>
    </xf>
    <xf numFmtId="0" fontId="38" fillId="5" borderId="10" xfId="0" applyFont="1" applyFill="1" applyBorder="1" applyAlignment="1">
      <alignment horizontal="right" vertical="center"/>
    </xf>
    <xf numFmtId="0" fontId="38" fillId="5" borderId="10" xfId="3" applyFont="1" applyFill="1" applyBorder="1" applyAlignment="1">
      <alignment horizontal="right" vertical="center"/>
    </xf>
    <xf numFmtId="0" fontId="0" fillId="5" borderId="0" xfId="0" applyFill="1">
      <alignment vertical="center"/>
    </xf>
    <xf numFmtId="0" fontId="35" fillId="5" borderId="10" xfId="0" applyFont="1" applyFill="1" applyBorder="1" applyAlignment="1">
      <alignment horizontal="center" vertical="center"/>
    </xf>
    <xf numFmtId="0" fontId="38" fillId="5" borderId="0" xfId="3" applyFont="1" applyFill="1" applyBorder="1" applyAlignment="1">
      <alignment horizontal="right" vertical="center"/>
    </xf>
    <xf numFmtId="0" fontId="38" fillId="5" borderId="0" xfId="0" applyFont="1" applyFill="1" applyBorder="1" applyAlignment="1">
      <alignment horizontal="right" vertical="center"/>
    </xf>
    <xf numFmtId="0" fontId="38" fillId="0" borderId="10" xfId="3" applyFont="1" applyBorder="1" applyAlignment="1" applyProtection="1">
      <alignment horizontal="right" vertical="center"/>
    </xf>
    <xf numFmtId="0" fontId="38" fillId="0" borderId="10" xfId="3" applyFont="1" applyFill="1" applyBorder="1" applyAlignment="1" applyProtection="1">
      <alignment horizontal="right" vertical="center" wrapText="1"/>
    </xf>
    <xf numFmtId="0" fontId="0" fillId="0" borderId="0" xfId="0" applyProtection="1">
      <alignment vertical="center"/>
      <protection locked="0"/>
    </xf>
    <xf numFmtId="0" fontId="38" fillId="0" borderId="14" xfId="3" applyFont="1" applyBorder="1" applyAlignment="1" applyProtection="1">
      <alignment horizontal="right" vertical="center"/>
    </xf>
    <xf numFmtId="0" fontId="38" fillId="0" borderId="10" xfId="0" applyFont="1" applyBorder="1" applyAlignment="1" applyProtection="1">
      <alignment horizontal="right" vertical="center"/>
    </xf>
    <xf numFmtId="0" fontId="38" fillId="0" borderId="10" xfId="3" applyFont="1" applyFill="1" applyBorder="1" applyAlignment="1" applyProtection="1">
      <alignment horizontal="right" vertical="center"/>
    </xf>
    <xf numFmtId="176" fontId="30" fillId="0" borderId="10" xfId="1" quotePrefix="1" applyNumberFormat="1" applyFont="1" applyFill="1" applyBorder="1" applyAlignment="1" applyProtection="1">
      <alignment horizontal="center" vertical="center"/>
      <protection locked="0"/>
    </xf>
    <xf numFmtId="176" fontId="30" fillId="0" borderId="10" xfId="1" applyNumberFormat="1" applyFont="1" applyFill="1" applyBorder="1" applyAlignment="1" applyProtection="1">
      <alignment horizontal="center" vertical="center"/>
      <protection locked="0"/>
    </xf>
    <xf numFmtId="176" fontId="30" fillId="0" borderId="5" xfId="2" applyNumberFormat="1" applyFont="1" applyFill="1" applyBorder="1" applyAlignment="1" applyProtection="1">
      <alignment horizontal="center" vertical="center"/>
      <protection locked="0"/>
    </xf>
    <xf numFmtId="179" fontId="31" fillId="0" borderId="10" xfId="4" applyNumberFormat="1" applyFont="1" applyFill="1" applyBorder="1" applyAlignment="1" applyProtection="1">
      <alignment horizontal="center" vertical="center"/>
      <protection locked="0"/>
    </xf>
    <xf numFmtId="179" fontId="30" fillId="0" borderId="14" xfId="10" applyNumberFormat="1" applyFont="1" applyFill="1" applyBorder="1" applyAlignment="1" applyProtection="1">
      <alignment horizontal="center" vertical="center"/>
      <protection locked="0"/>
    </xf>
    <xf numFmtId="39" fontId="7" fillId="0" borderId="26" xfId="0" applyNumberFormat="1" applyFont="1" applyBorder="1" applyAlignment="1" applyProtection="1">
      <alignment horizontal="left" vertical="center"/>
    </xf>
    <xf numFmtId="39" fontId="7" fillId="0" borderId="26" xfId="0" applyNumberFormat="1" applyFont="1" applyBorder="1" applyAlignment="1" applyProtection="1">
      <alignment horizontal="right" vertical="center"/>
    </xf>
    <xf numFmtId="0" fontId="38" fillId="0" borderId="0" xfId="0" applyFont="1" applyProtection="1">
      <alignment vertical="center"/>
    </xf>
    <xf numFmtId="0" fontId="39" fillId="0" borderId="0" xfId="0" applyFont="1" applyProtection="1">
      <alignment vertical="center"/>
    </xf>
    <xf numFmtId="0" fontId="39" fillId="0" borderId="0" xfId="0" applyFont="1" applyAlignment="1" applyProtection="1">
      <alignment horizontal="right" vertical="center"/>
    </xf>
    <xf numFmtId="0" fontId="38" fillId="0" borderId="0" xfId="0" applyFont="1" applyAlignment="1" applyProtection="1">
      <alignment vertical="center"/>
    </xf>
    <xf numFmtId="0" fontId="30" fillId="0" borderId="0" xfId="4" applyNumberFormat="1" applyFont="1" applyFill="1" applyBorder="1" applyProtection="1"/>
    <xf numFmtId="0" fontId="34" fillId="0" borderId="0" xfId="4" applyNumberFormat="1" applyFont="1" applyFill="1" applyBorder="1" applyAlignment="1" applyProtection="1">
      <alignment horizontal="centerContinuous"/>
    </xf>
    <xf numFmtId="0" fontId="34" fillId="0" borderId="0" xfId="4" applyNumberFormat="1" applyFont="1" applyFill="1" applyBorder="1" applyAlignment="1" applyProtection="1">
      <alignment horizontal="center" vertical="center"/>
    </xf>
    <xf numFmtId="0" fontId="34" fillId="0" borderId="0" xfId="4" applyNumberFormat="1" applyFont="1" applyFill="1" applyBorder="1" applyAlignment="1" applyProtection="1">
      <alignment horizontal="right"/>
    </xf>
    <xf numFmtId="31" fontId="34" fillId="0" borderId="0" xfId="4" applyNumberFormat="1" applyFont="1" applyFill="1" applyBorder="1" applyAlignment="1" applyProtection="1">
      <alignment horizontal="centerContinuous"/>
    </xf>
    <xf numFmtId="31" fontId="34" fillId="0" borderId="0" xfId="4" applyNumberFormat="1" applyFont="1" applyFill="1" applyBorder="1" applyAlignment="1" applyProtection="1">
      <alignment horizontal="center" vertical="center"/>
    </xf>
    <xf numFmtId="0" fontId="30" fillId="0" borderId="0" xfId="0" applyNumberFormat="1" applyFont="1" applyFill="1" applyAlignment="1" applyProtection="1"/>
    <xf numFmtId="0" fontId="30" fillId="0" borderId="0" xfId="4" applyNumberFormat="1" applyFont="1" applyFill="1" applyBorder="1" applyAlignment="1" applyProtection="1">
      <alignment horizontal="center" vertical="center"/>
    </xf>
    <xf numFmtId="0" fontId="30" fillId="0" borderId="0" xfId="0" applyFont="1" applyAlignment="1" applyProtection="1"/>
    <xf numFmtId="0" fontId="30" fillId="0" borderId="0" xfId="0" applyFont="1" applyAlignment="1" applyProtection="1">
      <alignment horizontal="center" vertical="center"/>
    </xf>
    <xf numFmtId="0" fontId="31" fillId="0" borderId="0" xfId="7" applyFont="1" applyFill="1" applyBorder="1" applyAlignment="1" applyProtection="1">
      <alignment vertical="center"/>
    </xf>
    <xf numFmtId="179" fontId="34" fillId="0" borderId="0" xfId="4" applyNumberFormat="1" applyFont="1" applyFill="1" applyBorder="1" applyAlignment="1" applyProtection="1">
      <alignment horizontal="right"/>
    </xf>
    <xf numFmtId="0" fontId="31" fillId="0" borderId="0" xfId="7" applyFont="1" applyFill="1" applyBorder="1" applyAlignment="1" applyProtection="1">
      <alignment horizontal="center" vertical="center"/>
    </xf>
    <xf numFmtId="179" fontId="31" fillId="0" borderId="0" xfId="7" applyNumberFormat="1" applyFont="1" applyFill="1" applyBorder="1" applyAlignment="1" applyProtection="1">
      <alignment horizontal="center" vertical="center"/>
    </xf>
    <xf numFmtId="0" fontId="31" fillId="0" borderId="0" xfId="5" applyFont="1" applyFill="1" applyBorder="1" applyAlignment="1" applyProtection="1">
      <alignment horizontal="left"/>
    </xf>
    <xf numFmtId="179" fontId="31" fillId="0" borderId="0" xfId="7" applyNumberFormat="1" applyFont="1" applyFill="1" applyBorder="1" applyAlignment="1" applyProtection="1">
      <alignment horizontal="right"/>
    </xf>
    <xf numFmtId="0" fontId="30" fillId="0" borderId="0" xfId="7" applyFont="1" applyFill="1" applyBorder="1" applyAlignment="1" applyProtection="1">
      <alignment vertical="center"/>
    </xf>
    <xf numFmtId="179" fontId="31" fillId="0" borderId="0" xfId="7" applyNumberFormat="1" applyFont="1" applyFill="1" applyBorder="1" applyAlignment="1" applyProtection="1">
      <alignment vertical="center"/>
    </xf>
    <xf numFmtId="0" fontId="30" fillId="0" borderId="0" xfId="0" applyFont="1" applyFill="1" applyAlignment="1" applyProtection="1"/>
    <xf numFmtId="179" fontId="30" fillId="0" borderId="0" xfId="13" applyNumberFormat="1" applyFont="1" applyFill="1" applyBorder="1" applyAlignment="1" applyProtection="1">
      <alignment vertical="center"/>
    </xf>
    <xf numFmtId="40" fontId="30" fillId="0" borderId="0" xfId="0" applyNumberFormat="1" applyFont="1" applyFill="1" applyAlignment="1" applyProtection="1"/>
    <xf numFmtId="179" fontId="30" fillId="0" borderId="0" xfId="4" applyNumberFormat="1" applyFont="1" applyFill="1" applyBorder="1" applyProtection="1"/>
    <xf numFmtId="179" fontId="30" fillId="0" borderId="0" xfId="7" applyNumberFormat="1" applyFont="1" applyFill="1" applyBorder="1" applyAlignment="1" applyProtection="1">
      <alignment vertical="center"/>
    </xf>
    <xf numFmtId="0" fontId="38" fillId="0" borderId="10" xfId="0" applyFont="1" applyBorder="1" applyAlignment="1" applyProtection="1">
      <alignment horizontal="center" vertical="center"/>
      <protection locked="0"/>
    </xf>
    <xf numFmtId="39" fontId="7" fillId="0" borderId="26" xfId="0" applyNumberFormat="1" applyFont="1" applyBorder="1" applyAlignment="1" applyProtection="1">
      <alignment horizontal="left"/>
    </xf>
    <xf numFmtId="14" fontId="38" fillId="0" borderId="10" xfId="0" applyNumberFormat="1" applyFont="1" applyBorder="1" applyProtection="1">
      <alignment vertical="center"/>
      <protection locked="0"/>
    </xf>
    <xf numFmtId="14" fontId="38" fillId="0" borderId="0" xfId="0" applyNumberFormat="1" applyFont="1" applyProtection="1">
      <alignment vertical="center"/>
      <protection locked="0"/>
    </xf>
    <xf numFmtId="0" fontId="38" fillId="0" borderId="10" xfId="0" applyFont="1" applyBorder="1" applyAlignment="1" applyProtection="1">
      <alignment horizontal="left" vertical="center"/>
      <protection locked="0"/>
    </xf>
    <xf numFmtId="0" fontId="38" fillId="0" borderId="0" xfId="0" applyFont="1" applyBorder="1" applyAlignment="1" applyProtection="1">
      <alignment horizontal="center" vertical="center"/>
      <protection locked="0"/>
    </xf>
    <xf numFmtId="0" fontId="38" fillId="0" borderId="26" xfId="0" applyFont="1" applyBorder="1" applyAlignment="1" applyProtection="1">
      <alignment horizontal="center" vertical="center"/>
      <protection locked="0"/>
    </xf>
    <xf numFmtId="0" fontId="38"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0" fillId="0" borderId="10" xfId="0" applyBorder="1" applyAlignment="1" applyProtection="1">
      <alignment horizontal="center" vertical="center"/>
      <protection locked="0"/>
    </xf>
    <xf numFmtId="176" fontId="31" fillId="0" borderId="11" xfId="1" quotePrefix="1" applyNumberFormat="1" applyFont="1" applyFill="1" applyBorder="1" applyAlignment="1" applyProtection="1">
      <alignment horizontal="left" vertical="center"/>
    </xf>
    <xf numFmtId="176" fontId="30" fillId="0" borderId="11" xfId="1" quotePrefix="1" applyNumberFormat="1" applyFont="1" applyFill="1" applyBorder="1" applyAlignment="1" applyProtection="1">
      <alignment horizontal="left" vertical="center"/>
    </xf>
    <xf numFmtId="0" fontId="30" fillId="0" borderId="11" xfId="1" applyFont="1" applyFill="1" applyBorder="1" applyAlignment="1" applyProtection="1">
      <alignment horizontal="left" vertical="center" wrapText="1"/>
    </xf>
    <xf numFmtId="0" fontId="30" fillId="0" borderId="11" xfId="1" applyFont="1" applyFill="1" applyBorder="1" applyAlignment="1" applyProtection="1">
      <alignment vertical="center" wrapText="1"/>
    </xf>
    <xf numFmtId="178" fontId="30" fillId="0" borderId="11" xfId="1" quotePrefix="1" applyNumberFormat="1" applyFont="1" applyFill="1" applyBorder="1" applyAlignment="1" applyProtection="1">
      <alignment horizontal="left" vertical="center"/>
    </xf>
    <xf numFmtId="176" fontId="31" fillId="0" borderId="11" xfId="1" quotePrefix="1" applyNumberFormat="1" applyFont="1" applyFill="1" applyBorder="1" applyAlignment="1" applyProtection="1">
      <alignment horizontal="center" vertical="center"/>
    </xf>
    <xf numFmtId="176" fontId="30" fillId="0" borderId="11" xfId="1" applyNumberFormat="1" applyFont="1" applyFill="1" applyBorder="1" applyAlignment="1" applyProtection="1">
      <alignment horizontal="left" vertical="center"/>
    </xf>
    <xf numFmtId="176" fontId="30" fillId="0" borderId="25" xfId="1" quotePrefix="1" applyNumberFormat="1" applyFont="1" applyFill="1" applyBorder="1" applyAlignment="1" applyProtection="1">
      <alignment horizontal="left" vertical="center"/>
    </xf>
    <xf numFmtId="0" fontId="38" fillId="0" borderId="10" xfId="3" applyFont="1" applyBorder="1" applyAlignment="1" applyProtection="1">
      <alignment horizontal="center" vertical="center"/>
      <protection locked="0"/>
    </xf>
    <xf numFmtId="14" fontId="38" fillId="0" borderId="10" xfId="0" applyNumberFormat="1" applyFont="1" applyBorder="1" applyAlignment="1" applyProtection="1">
      <alignment horizontal="center" vertical="center"/>
      <protection locked="0"/>
    </xf>
    <xf numFmtId="0" fontId="0" fillId="0" borderId="0" xfId="0" applyAlignment="1">
      <alignment horizontal="right" vertical="center"/>
    </xf>
    <xf numFmtId="0" fontId="53" fillId="0" borderId="0" xfId="0" applyFont="1" applyProtection="1">
      <alignment vertical="center"/>
      <protection locked="0"/>
    </xf>
    <xf numFmtId="0" fontId="38" fillId="0" borderId="10" xfId="0" applyFont="1" applyBorder="1" applyAlignment="1" applyProtection="1">
      <alignment horizontal="center" vertical="center"/>
      <protection locked="0"/>
    </xf>
    <xf numFmtId="0" fontId="38" fillId="4" borderId="10" xfId="0" applyFont="1" applyFill="1" applyBorder="1" applyAlignment="1">
      <alignment horizontal="right" vertical="center"/>
    </xf>
    <xf numFmtId="0" fontId="38" fillId="0" borderId="10" xfId="0" applyFont="1" applyBorder="1" applyAlignment="1" applyProtection="1">
      <alignment horizontal="center" vertical="center"/>
      <protection locked="0"/>
    </xf>
    <xf numFmtId="0" fontId="0" fillId="0" borderId="0" xfId="0" applyAlignment="1">
      <alignment horizontal="center" vertical="center"/>
    </xf>
    <xf numFmtId="180" fontId="9" fillId="0" borderId="10" xfId="10" applyNumberFormat="1" applyFont="1" applyFill="1" applyBorder="1" applyAlignment="1" applyProtection="1">
      <alignment horizontal="center" vertical="center"/>
      <protection locked="0"/>
    </xf>
    <xf numFmtId="39" fontId="9" fillId="0" borderId="10" xfId="10" applyNumberFormat="1" applyFont="1" applyFill="1" applyBorder="1" applyAlignment="1" applyProtection="1">
      <alignment horizontal="center" vertical="center"/>
      <protection locked="0"/>
    </xf>
    <xf numFmtId="39" fontId="9" fillId="0" borderId="17" xfId="10" applyNumberFormat="1" applyFont="1" applyFill="1" applyBorder="1" applyAlignment="1" applyProtection="1">
      <alignment horizontal="center" vertical="center"/>
      <protection locked="0"/>
    </xf>
    <xf numFmtId="180" fontId="7" fillId="0" borderId="0" xfId="0" applyNumberFormat="1" applyFont="1" applyBorder="1" applyAlignment="1" applyProtection="1">
      <alignment horizontal="center" vertical="center"/>
    </xf>
    <xf numFmtId="0" fontId="7" fillId="0" borderId="0" xfId="0" applyFont="1" applyBorder="1" applyAlignment="1" applyProtection="1">
      <alignment horizontal="center" vertical="center"/>
    </xf>
    <xf numFmtId="0" fontId="38" fillId="0" borderId="0" xfId="0" applyFont="1" applyAlignment="1" applyProtection="1">
      <alignment horizontal="center" vertical="center"/>
    </xf>
    <xf numFmtId="39" fontId="2" fillId="0" borderId="15" xfId="10" applyNumberFormat="1" applyFont="1" applyFill="1" applyBorder="1" applyAlignment="1" applyProtection="1">
      <alignment horizontal="center"/>
    </xf>
    <xf numFmtId="181" fontId="21" fillId="0" borderId="0" xfId="10" applyNumberFormat="1" applyFont="1" applyBorder="1" applyAlignment="1" applyProtection="1">
      <alignment horizontal="center"/>
    </xf>
    <xf numFmtId="180" fontId="2" fillId="0" borderId="0" xfId="0" applyNumberFormat="1" applyFont="1" applyBorder="1" applyAlignment="1" applyProtection="1">
      <alignment horizontal="center"/>
    </xf>
    <xf numFmtId="180" fontId="2" fillId="0" borderId="0" xfId="0" applyNumberFormat="1" applyFont="1" applyBorder="1" applyAlignment="1" applyProtection="1">
      <alignment horizontal="center"/>
      <protection locked="0"/>
    </xf>
    <xf numFmtId="0" fontId="38" fillId="0" borderId="0" xfId="0" applyFont="1" applyAlignment="1" applyProtection="1">
      <alignment horizontal="center" vertical="center"/>
    </xf>
    <xf numFmtId="0" fontId="34" fillId="0" borderId="0" xfId="4" applyNumberFormat="1" applyFont="1" applyFill="1" applyBorder="1" applyAlignment="1" applyProtection="1">
      <alignment horizontal="right" vertical="center"/>
    </xf>
    <xf numFmtId="43" fontId="30" fillId="0" borderId="0" xfId="12" applyFont="1" applyFill="1" applyBorder="1" applyAlignment="1" applyProtection="1">
      <alignment horizontal="center" vertical="center"/>
    </xf>
    <xf numFmtId="179" fontId="30" fillId="0" borderId="10" xfId="14" applyNumberFormat="1" applyFont="1" applyFill="1" applyBorder="1" applyAlignment="1" applyProtection="1">
      <alignment horizontal="center" vertical="center"/>
      <protection locked="0"/>
    </xf>
    <xf numFmtId="179" fontId="31" fillId="0" borderId="10" xfId="14" applyNumberFormat="1" applyFont="1" applyFill="1" applyBorder="1" applyAlignment="1" applyProtection="1">
      <alignment horizontal="center" vertical="center"/>
      <protection locked="0"/>
    </xf>
    <xf numFmtId="0" fontId="38" fillId="0" borderId="10" xfId="0" applyFont="1" applyBorder="1" applyAlignment="1" applyProtection="1">
      <alignment horizontal="center" vertical="center"/>
      <protection locked="0"/>
    </xf>
    <xf numFmtId="0" fontId="38" fillId="0" borderId="10" xfId="0" applyFont="1" applyBorder="1" applyAlignment="1" applyProtection="1">
      <alignment horizontal="center" vertical="center"/>
      <protection locked="0"/>
    </xf>
    <xf numFmtId="0" fontId="38" fillId="0" borderId="10" xfId="0" applyFont="1" applyBorder="1" applyAlignment="1" applyProtection="1">
      <alignment horizontal="center" vertical="center"/>
      <protection locked="0"/>
    </xf>
    <xf numFmtId="0" fontId="38" fillId="0" borderId="10" xfId="0" applyFont="1" applyBorder="1" applyAlignment="1">
      <alignment horizontal="center" vertical="center"/>
    </xf>
    <xf numFmtId="0" fontId="38" fillId="0" borderId="10" xfId="0" applyFont="1" applyBorder="1">
      <alignment vertical="center"/>
    </xf>
    <xf numFmtId="49" fontId="38" fillId="0" borderId="10" xfId="0" applyNumberFormat="1" applyFont="1" applyBorder="1" applyAlignment="1" applyProtection="1">
      <alignment horizontal="left" vertical="center"/>
      <protection locked="0"/>
    </xf>
    <xf numFmtId="0" fontId="30" fillId="0" borderId="24" xfId="1" applyFont="1" applyFill="1" applyBorder="1" applyAlignment="1" applyProtection="1">
      <alignment horizontal="left" vertical="center"/>
      <protection locked="0"/>
    </xf>
    <xf numFmtId="0" fontId="30" fillId="0" borderId="1" xfId="2" applyFont="1" applyFill="1" applyBorder="1" applyAlignment="1" applyProtection="1">
      <alignment horizontal="left" vertical="center"/>
      <protection locked="0"/>
    </xf>
    <xf numFmtId="0" fontId="33" fillId="0" borderId="0" xfId="4" applyNumberFormat="1" applyFont="1" applyFill="1" applyBorder="1" applyAlignment="1" applyProtection="1">
      <alignment vertical="center"/>
      <protection locked="0"/>
    </xf>
    <xf numFmtId="0" fontId="30" fillId="0" borderId="0" xfId="5" applyFont="1" applyFill="1" applyBorder="1" applyAlignment="1" applyProtection="1">
      <alignment horizontal="left" vertical="center"/>
      <protection locked="0"/>
    </xf>
    <xf numFmtId="0" fontId="30" fillId="0" borderId="0" xfId="5" applyFont="1" applyBorder="1" applyAlignment="1" applyProtection="1">
      <alignment horizontal="left" vertical="center"/>
      <protection locked="0"/>
    </xf>
    <xf numFmtId="0" fontId="38" fillId="0" borderId="0" xfId="0" applyFont="1" applyProtection="1">
      <alignment vertical="center"/>
      <protection locked="0"/>
    </xf>
    <xf numFmtId="0" fontId="38" fillId="0" borderId="0" xfId="0" applyFont="1" applyAlignment="1" applyProtection="1">
      <alignment horizontal="center" vertical="center"/>
      <protection locked="0"/>
    </xf>
    <xf numFmtId="0" fontId="30" fillId="0" borderId="0" xfId="8" applyFont="1" applyBorder="1" applyAlignment="1" applyProtection="1">
      <alignment horizontal="justify" vertical="center"/>
      <protection locked="0"/>
    </xf>
    <xf numFmtId="0" fontId="30" fillId="0" borderId="0" xfId="8" applyNumberFormat="1" applyFont="1" applyBorder="1" applyAlignment="1" applyProtection="1">
      <alignment horizontal="justify" vertical="center"/>
      <protection locked="0"/>
    </xf>
    <xf numFmtId="0" fontId="38" fillId="0" borderId="0" xfId="0" applyFont="1" applyAlignment="1" applyProtection="1">
      <alignment vertical="center"/>
      <protection locked="0"/>
    </xf>
    <xf numFmtId="0" fontId="7" fillId="0" borderId="26" xfId="0" applyFont="1" applyFill="1" applyBorder="1" applyAlignment="1" applyProtection="1">
      <protection locked="0"/>
    </xf>
    <xf numFmtId="39" fontId="7" fillId="0" borderId="26" xfId="0" applyNumberFormat="1" applyFont="1" applyBorder="1" applyAlignment="1" applyProtection="1">
      <alignment horizontal="left" vertical="center"/>
      <protection locked="0"/>
    </xf>
    <xf numFmtId="0" fontId="39" fillId="0" borderId="0" xfId="0" applyFont="1" applyProtection="1">
      <alignment vertical="center"/>
      <protection locked="0"/>
    </xf>
    <xf numFmtId="0" fontId="42" fillId="0" borderId="0" xfId="0" applyFont="1" applyProtection="1">
      <alignment vertical="center"/>
      <protection locked="0"/>
    </xf>
    <xf numFmtId="0" fontId="7" fillId="0" borderId="26" xfId="0" applyFont="1" applyFill="1" applyBorder="1" applyAlignment="1" applyProtection="1">
      <alignment vertical="center"/>
      <protection locked="0"/>
    </xf>
    <xf numFmtId="0" fontId="38" fillId="0" borderId="26" xfId="0" applyFont="1" applyBorder="1" applyAlignment="1" applyProtection="1">
      <alignment horizontal="center"/>
      <protection locked="0"/>
    </xf>
    <xf numFmtId="0" fontId="34" fillId="0" borderId="0" xfId="4" applyNumberFormat="1" applyFont="1" applyFill="1" applyBorder="1" applyAlignment="1" applyProtection="1">
      <protection locked="0"/>
    </xf>
    <xf numFmtId="31" fontId="34" fillId="0" borderId="0" xfId="4" applyNumberFormat="1" applyFont="1" applyFill="1" applyBorder="1" applyAlignment="1" applyProtection="1">
      <alignment horizontal="centerContinuous"/>
      <protection locked="0"/>
    </xf>
    <xf numFmtId="0" fontId="31" fillId="0" borderId="0" xfId="5" applyFont="1" applyFill="1" applyBorder="1" applyAlignment="1" applyProtection="1">
      <alignment horizontal="left"/>
      <protection locked="0"/>
    </xf>
    <xf numFmtId="0" fontId="30" fillId="0" borderId="0" xfId="4" applyNumberFormat="1" applyFont="1" applyFill="1" applyBorder="1" applyProtection="1">
      <protection locked="0"/>
    </xf>
    <xf numFmtId="0" fontId="30" fillId="0" borderId="0" xfId="4" applyNumberFormat="1" applyFont="1" applyFill="1" applyBorder="1" applyAlignment="1" applyProtection="1">
      <alignment horizontal="center" vertical="center"/>
      <protection locked="0"/>
    </xf>
    <xf numFmtId="40" fontId="30" fillId="0" borderId="0" xfId="0" applyNumberFormat="1" applyFont="1" applyFill="1" applyAlignment="1" applyProtection="1">
      <protection locked="0"/>
    </xf>
    <xf numFmtId="179" fontId="30" fillId="0" borderId="0" xfId="4" applyNumberFormat="1" applyFont="1" applyFill="1" applyBorder="1" applyProtection="1">
      <protection locked="0"/>
    </xf>
    <xf numFmtId="0" fontId="30" fillId="0" borderId="0" xfId="4" applyNumberFormat="1" applyFont="1" applyFill="1" applyBorder="1" applyAlignment="1" applyProtection="1">
      <alignment vertical="center"/>
      <protection locked="0"/>
    </xf>
    <xf numFmtId="179" fontId="30" fillId="0" borderId="0" xfId="4" applyNumberFormat="1" applyFont="1" applyFill="1" applyBorder="1" applyAlignment="1" applyProtection="1">
      <alignment vertical="center"/>
      <protection locked="0"/>
    </xf>
    <xf numFmtId="0" fontId="38" fillId="0" borderId="0" xfId="0" applyFont="1" applyFill="1" applyBorder="1" applyAlignment="1" applyProtection="1">
      <alignment vertical="center"/>
      <protection locked="0"/>
    </xf>
    <xf numFmtId="0" fontId="38" fillId="0" borderId="0" xfId="0" applyFont="1" applyBorder="1" applyAlignment="1" applyProtection="1">
      <alignment vertical="center"/>
      <protection locked="0"/>
    </xf>
    <xf numFmtId="39" fontId="7" fillId="0" borderId="26" xfId="0" applyNumberFormat="1" applyFont="1" applyBorder="1" applyAlignment="1" applyProtection="1">
      <alignment horizontal="left"/>
      <protection locked="0"/>
    </xf>
    <xf numFmtId="31" fontId="33" fillId="0" borderId="0" xfId="4" applyNumberFormat="1" applyFont="1" applyFill="1" applyBorder="1" applyAlignment="1" applyProtection="1">
      <alignment horizontal="centerContinuous"/>
      <protection locked="0"/>
    </xf>
    <xf numFmtId="0" fontId="31" fillId="0" borderId="0" xfId="5" applyFont="1" applyFill="1" applyBorder="1" applyAlignment="1" applyProtection="1">
      <alignment horizontal="left" vertical="center"/>
      <protection locked="0"/>
    </xf>
    <xf numFmtId="0" fontId="38" fillId="0" borderId="10" xfId="0" applyFont="1" applyBorder="1" applyAlignment="1" applyProtection="1">
      <alignment horizontal="center" vertical="center"/>
      <protection locked="0"/>
    </xf>
    <xf numFmtId="0" fontId="0" fillId="0" borderId="0" xfId="0" applyFill="1" applyProtection="1">
      <alignment vertical="center"/>
      <protection locked="0"/>
    </xf>
    <xf numFmtId="0" fontId="38" fillId="0" borderId="10" xfId="0" applyFont="1" applyFill="1" applyBorder="1" applyAlignment="1" applyProtection="1">
      <alignment vertical="center"/>
    </xf>
    <xf numFmtId="176" fontId="30" fillId="0" borderId="12" xfId="1" applyNumberFormat="1" applyFont="1" applyFill="1" applyBorder="1" applyAlignment="1" applyProtection="1">
      <alignment horizontal="center" vertical="center"/>
      <protection locked="0"/>
    </xf>
    <xf numFmtId="0" fontId="38" fillId="0" borderId="10" xfId="0" applyFont="1" applyBorder="1" applyAlignment="1" applyProtection="1">
      <alignment horizontal="center" vertical="center"/>
      <protection locked="0"/>
    </xf>
    <xf numFmtId="49" fontId="38" fillId="0" borderId="10" xfId="3" applyNumberFormat="1" applyFont="1" applyFill="1" applyBorder="1" applyAlignment="1" applyProtection="1">
      <alignment horizontal="center" vertical="center" wrapText="1"/>
      <protection locked="0"/>
    </xf>
    <xf numFmtId="0" fontId="38" fillId="0" borderId="14" xfId="3" applyFont="1" applyBorder="1" applyAlignment="1" applyProtection="1">
      <alignment horizontal="center" vertical="center" wrapText="1"/>
      <protection locked="0"/>
    </xf>
    <xf numFmtId="49" fontId="38" fillId="0" borderId="10" xfId="0" applyNumberFormat="1" applyFont="1" applyBorder="1" applyAlignment="1" applyProtection="1">
      <alignment horizontal="center" vertical="center"/>
      <protection locked="0"/>
    </xf>
    <xf numFmtId="183" fontId="38" fillId="0" borderId="10" xfId="0" applyNumberFormat="1" applyFont="1" applyBorder="1" applyAlignment="1" applyProtection="1">
      <alignment horizontal="center" vertical="center"/>
      <protection locked="0"/>
    </xf>
    <xf numFmtId="0" fontId="38" fillId="0" borderId="10" xfId="0" applyFont="1" applyBorder="1" applyAlignment="1" applyProtection="1">
      <alignment horizontal="center" vertical="center" wrapText="1"/>
      <protection locked="0"/>
    </xf>
    <xf numFmtId="184" fontId="38" fillId="0" borderId="10" xfId="0" applyNumberFormat="1" applyFont="1" applyBorder="1" applyAlignment="1" applyProtection="1">
      <alignment horizontal="center" vertical="center"/>
      <protection locked="0"/>
    </xf>
    <xf numFmtId="182" fontId="38" fillId="0" borderId="10" xfId="0" applyNumberFormat="1" applyFont="1" applyBorder="1" applyAlignment="1" applyProtection="1">
      <alignment horizontal="center" vertical="center"/>
      <protection locked="0"/>
    </xf>
    <xf numFmtId="0" fontId="38" fillId="0" borderId="10" xfId="0" applyFont="1" applyBorder="1" applyAlignment="1" applyProtection="1">
      <alignment horizontal="center" vertical="center"/>
      <protection locked="0"/>
    </xf>
    <xf numFmtId="0" fontId="38" fillId="0" borderId="10" xfId="0" applyFont="1" applyBorder="1" applyAlignment="1" applyProtection="1">
      <alignment horizontal="center" vertical="center"/>
      <protection locked="0"/>
    </xf>
    <xf numFmtId="176" fontId="38" fillId="0" borderId="10" xfId="0" applyNumberFormat="1" applyFont="1" applyBorder="1" applyAlignment="1" applyProtection="1">
      <alignment horizontal="center" vertical="center"/>
      <protection locked="0"/>
    </xf>
    <xf numFmtId="176" fontId="38" fillId="0" borderId="10" xfId="0" applyNumberFormat="1" applyFont="1" applyBorder="1" applyAlignment="1" applyProtection="1">
      <alignment vertical="center"/>
      <protection locked="0"/>
    </xf>
    <xf numFmtId="180" fontId="38" fillId="0" borderId="10" xfId="0" applyNumberFormat="1" applyFont="1" applyBorder="1" applyAlignment="1" applyProtection="1">
      <alignment horizontal="center" vertical="center"/>
      <protection locked="0"/>
    </xf>
    <xf numFmtId="176" fontId="38" fillId="0" borderId="10" xfId="0" applyNumberFormat="1" applyFont="1" applyBorder="1" applyAlignment="1">
      <alignment horizontal="center" vertical="center"/>
    </xf>
    <xf numFmtId="176" fontId="38" fillId="0" borderId="10" xfId="0" applyNumberFormat="1" applyFont="1" applyBorder="1" applyProtection="1">
      <alignment vertical="center"/>
      <protection locked="0"/>
    </xf>
    <xf numFmtId="176" fontId="0" fillId="0" borderId="10" xfId="0" applyNumberFormat="1" applyBorder="1" applyAlignment="1" applyProtection="1">
      <alignment horizontal="left" vertical="center"/>
      <protection locked="0"/>
    </xf>
    <xf numFmtId="176" fontId="38" fillId="0" borderId="10" xfId="0" applyNumberFormat="1" applyFont="1" applyBorder="1" applyAlignment="1" applyProtection="1">
      <alignment horizontal="left" vertical="center"/>
      <protection locked="0"/>
    </xf>
    <xf numFmtId="176" fontId="38" fillId="0" borderId="0" xfId="0" applyNumberFormat="1" applyFont="1" applyAlignment="1" applyProtection="1">
      <alignment horizontal="center" vertical="center"/>
      <protection locked="0"/>
    </xf>
    <xf numFmtId="176" fontId="38" fillId="0" borderId="14" xfId="0" applyNumberFormat="1" applyFont="1" applyBorder="1" applyAlignment="1" applyProtection="1">
      <alignment horizontal="center" vertical="center"/>
      <protection locked="0"/>
    </xf>
    <xf numFmtId="176" fontId="0" fillId="0" borderId="10" xfId="0" applyNumberFormat="1" applyBorder="1" applyAlignment="1" applyProtection="1">
      <alignment horizontal="center" vertical="center"/>
      <protection locked="0"/>
    </xf>
    <xf numFmtId="176" fontId="38" fillId="0" borderId="10" xfId="0" applyNumberFormat="1" applyFont="1" applyBorder="1" applyAlignment="1" applyProtection="1">
      <alignment horizontal="center" vertical="center"/>
      <protection locked="0"/>
    </xf>
    <xf numFmtId="0" fontId="38" fillId="0" borderId="10" xfId="0" applyFont="1" applyBorder="1" applyAlignment="1" applyProtection="1">
      <alignment horizontal="center" vertical="center"/>
      <protection locked="0"/>
    </xf>
    <xf numFmtId="0" fontId="0" fillId="5" borderId="10" xfId="0" applyFill="1" applyBorder="1" applyAlignment="1" applyProtection="1">
      <alignment horizontal="center" vertical="center"/>
      <protection locked="0"/>
    </xf>
    <xf numFmtId="0" fontId="54" fillId="5" borderId="10" xfId="0" applyFont="1" applyFill="1" applyBorder="1" applyAlignment="1" applyProtection="1">
      <alignment horizontal="center" vertical="center"/>
    </xf>
    <xf numFmtId="0" fontId="38" fillId="5" borderId="10" xfId="0" applyFont="1" applyFill="1" applyBorder="1" applyAlignment="1">
      <alignment horizontal="right" vertical="center"/>
    </xf>
    <xf numFmtId="0" fontId="36" fillId="5" borderId="10" xfId="3" applyFont="1" applyFill="1" applyBorder="1" applyAlignment="1">
      <alignment horizontal="right" vertical="center"/>
    </xf>
    <xf numFmtId="176" fontId="30" fillId="0" borderId="27" xfId="2" applyNumberFormat="1" applyFont="1" applyFill="1" applyBorder="1" applyAlignment="1" applyProtection="1">
      <alignment horizontal="center" vertical="center"/>
      <protection locked="0"/>
    </xf>
    <xf numFmtId="176" fontId="30" fillId="0" borderId="10" xfId="2" applyNumberFormat="1" applyFont="1" applyFill="1" applyBorder="1" applyAlignment="1" applyProtection="1">
      <alignment horizontal="center" vertical="center"/>
      <protection locked="0"/>
    </xf>
    <xf numFmtId="176" fontId="31" fillId="0" borderId="14" xfId="10" applyNumberFormat="1" applyFont="1" applyFill="1" applyBorder="1" applyAlignment="1" applyProtection="1">
      <alignment horizontal="center" vertical="center"/>
      <protection locked="0"/>
    </xf>
    <xf numFmtId="176" fontId="31" fillId="0" borderId="10" xfId="10" applyNumberFormat="1" applyFont="1" applyFill="1" applyBorder="1" applyAlignment="1" applyProtection="1">
      <alignment horizontal="center" vertical="center"/>
      <protection locked="0"/>
    </xf>
    <xf numFmtId="176" fontId="30" fillId="0" borderId="14" xfId="10" applyNumberFormat="1" applyFont="1" applyFill="1" applyBorder="1" applyAlignment="1" applyProtection="1">
      <alignment horizontal="center" vertical="center"/>
      <protection locked="0"/>
    </xf>
    <xf numFmtId="176" fontId="30" fillId="0" borderId="10" xfId="10" applyNumberFormat="1" applyFont="1" applyFill="1" applyBorder="1" applyAlignment="1" applyProtection="1">
      <alignment horizontal="center" vertical="center"/>
      <protection locked="0"/>
    </xf>
    <xf numFmtId="176" fontId="30" fillId="0" borderId="10" xfId="14" applyNumberFormat="1" applyFont="1" applyBorder="1" applyAlignment="1" applyProtection="1">
      <alignment horizontal="center" vertical="center"/>
      <protection locked="0"/>
    </xf>
    <xf numFmtId="176" fontId="30" fillId="0" borderId="10" xfId="6" applyNumberFormat="1" applyFont="1" applyBorder="1" applyAlignment="1" applyProtection="1">
      <alignment horizontal="center" vertical="center"/>
      <protection locked="0"/>
    </xf>
    <xf numFmtId="176" fontId="30" fillId="0" borderId="10" xfId="8" applyNumberFormat="1" applyFont="1" applyBorder="1" applyAlignment="1" applyProtection="1">
      <alignment horizontal="center" vertical="center"/>
      <protection locked="0"/>
    </xf>
    <xf numFmtId="176" fontId="35" fillId="0" borderId="10" xfId="0" applyNumberFormat="1" applyFont="1" applyBorder="1" applyProtection="1">
      <alignment vertical="center"/>
      <protection locked="0"/>
    </xf>
    <xf numFmtId="176" fontId="9" fillId="0" borderId="10" xfId="0" applyNumberFormat="1" applyFont="1" applyBorder="1" applyAlignment="1" applyProtection="1">
      <alignment horizontal="center" vertical="center"/>
      <protection locked="0"/>
    </xf>
    <xf numFmtId="176" fontId="9" fillId="0" borderId="11" xfId="10" applyNumberFormat="1" applyFont="1" applyBorder="1" applyAlignment="1" applyProtection="1">
      <alignment horizontal="center" vertical="center"/>
      <protection locked="0"/>
    </xf>
    <xf numFmtId="176" fontId="7" fillId="0" borderId="10" xfId="0" applyNumberFormat="1" applyFont="1" applyFill="1" applyBorder="1" applyAlignment="1" applyProtection="1">
      <alignment horizontal="center" vertical="center"/>
      <protection locked="0"/>
    </xf>
    <xf numFmtId="176" fontId="7" fillId="0" borderId="11" xfId="10" applyNumberFormat="1" applyFont="1" applyBorder="1" applyAlignment="1" applyProtection="1">
      <alignment horizontal="center" vertical="center"/>
      <protection locked="0"/>
    </xf>
    <xf numFmtId="176" fontId="9" fillId="0" borderId="10" xfId="10" applyNumberFormat="1" applyFont="1" applyFill="1" applyBorder="1" applyAlignment="1" applyProtection="1">
      <alignment horizontal="center" vertical="center"/>
      <protection locked="0"/>
    </xf>
    <xf numFmtId="176" fontId="9" fillId="0" borderId="11" xfId="10" applyNumberFormat="1" applyFont="1" applyFill="1" applyBorder="1" applyAlignment="1" applyProtection="1">
      <alignment horizontal="center" vertical="center"/>
      <protection locked="0"/>
    </xf>
    <xf numFmtId="176" fontId="7" fillId="0" borderId="10" xfId="10" applyNumberFormat="1" applyFont="1" applyFill="1" applyBorder="1" applyAlignment="1" applyProtection="1">
      <alignment horizontal="center" vertical="center"/>
      <protection locked="0"/>
    </xf>
    <xf numFmtId="176" fontId="7" fillId="0" borderId="11" xfId="10" applyNumberFormat="1" applyFont="1" applyFill="1" applyBorder="1" applyAlignment="1" applyProtection="1">
      <alignment horizontal="center" vertical="center"/>
      <protection locked="0"/>
    </xf>
    <xf numFmtId="179" fontId="9" fillId="0" borderId="10" xfId="10" applyNumberFormat="1" applyFont="1" applyFill="1" applyBorder="1" applyAlignment="1" applyProtection="1">
      <alignment horizontal="center" vertical="center"/>
      <protection locked="0"/>
    </xf>
    <xf numFmtId="179" fontId="9" fillId="0" borderId="17" xfId="10" applyNumberFormat="1" applyFont="1" applyFill="1" applyBorder="1" applyAlignment="1" applyProtection="1">
      <alignment horizontal="center" vertical="center"/>
      <protection locked="0"/>
    </xf>
    <xf numFmtId="179" fontId="9" fillId="0" borderId="28" xfId="10" applyNumberFormat="1" applyFont="1" applyFill="1" applyBorder="1" applyAlignment="1" applyProtection="1">
      <alignment horizontal="center" vertical="center"/>
      <protection locked="0"/>
    </xf>
    <xf numFmtId="179" fontId="7" fillId="0" borderId="10" xfId="0" applyNumberFormat="1" applyFont="1" applyFill="1" applyBorder="1" applyAlignment="1" applyProtection="1">
      <alignment horizontal="center" vertical="center"/>
      <protection locked="0"/>
    </xf>
    <xf numFmtId="179" fontId="7" fillId="0" borderId="11" xfId="0" applyNumberFormat="1" applyFont="1" applyFill="1" applyBorder="1" applyAlignment="1" applyProtection="1">
      <alignment horizontal="center" vertical="center"/>
      <protection locked="0"/>
    </xf>
    <xf numFmtId="176" fontId="40" fillId="0" borderId="10" xfId="0" applyNumberFormat="1" applyFont="1" applyBorder="1" applyProtection="1">
      <alignment vertical="center"/>
      <protection locked="0"/>
    </xf>
    <xf numFmtId="176" fontId="39" fillId="0" borderId="10" xfId="0" applyNumberFormat="1" applyFont="1" applyBorder="1" applyAlignment="1" applyProtection="1">
      <alignment horizontal="center" vertical="center"/>
      <protection locked="0"/>
    </xf>
    <xf numFmtId="176" fontId="55" fillId="0" borderId="10" xfId="0" applyNumberFormat="1" applyFont="1" applyBorder="1" applyAlignment="1" applyProtection="1">
      <alignment horizontal="center" vertical="center"/>
      <protection locked="0"/>
    </xf>
    <xf numFmtId="176" fontId="38" fillId="0" borderId="15" xfId="0" applyNumberFormat="1" applyFont="1" applyBorder="1" applyAlignment="1" applyProtection="1">
      <alignment horizontal="center" vertical="center"/>
      <protection locked="0"/>
    </xf>
    <xf numFmtId="176" fontId="38" fillId="0" borderId="19" xfId="0" applyNumberFormat="1" applyFont="1" applyBorder="1" applyAlignment="1" applyProtection="1">
      <alignment horizontal="center" vertical="center"/>
      <protection locked="0"/>
    </xf>
    <xf numFmtId="176" fontId="31" fillId="0" borderId="10" xfId="4" applyNumberFormat="1" applyFont="1" applyFill="1" applyBorder="1" applyAlignment="1" applyProtection="1">
      <alignment horizontal="center" vertical="center"/>
      <protection locked="0"/>
    </xf>
    <xf numFmtId="176" fontId="30" fillId="0" borderId="10" xfId="4" applyNumberFormat="1" applyFont="1" applyFill="1" applyBorder="1" applyAlignment="1" applyProtection="1">
      <alignment horizontal="center" vertical="center"/>
      <protection locked="0"/>
    </xf>
    <xf numFmtId="176" fontId="31" fillId="0" borderId="10" xfId="12" applyNumberFormat="1" applyFont="1" applyFill="1" applyBorder="1" applyAlignment="1" applyProtection="1">
      <alignment horizontal="center" vertical="center"/>
      <protection locked="0"/>
    </xf>
    <xf numFmtId="176" fontId="30" fillId="0" borderId="10" xfId="12" applyNumberFormat="1" applyFont="1" applyFill="1" applyBorder="1" applyAlignment="1" applyProtection="1">
      <alignment horizontal="center" vertical="center"/>
      <protection locked="0"/>
    </xf>
    <xf numFmtId="176" fontId="30" fillId="0" borderId="10" xfId="13" applyNumberFormat="1" applyFont="1" applyFill="1" applyBorder="1" applyAlignment="1" applyProtection="1">
      <alignment horizontal="center" vertical="center"/>
      <protection locked="0"/>
    </xf>
    <xf numFmtId="176" fontId="31" fillId="0" borderId="10" xfId="13" applyNumberFormat="1" applyFont="1" applyFill="1" applyBorder="1" applyAlignment="1" applyProtection="1">
      <alignment horizontal="center" vertical="center"/>
      <protection locked="0"/>
    </xf>
    <xf numFmtId="176" fontId="31" fillId="0" borderId="10" xfId="11" applyNumberFormat="1" applyFont="1" applyFill="1" applyBorder="1" applyAlignment="1" applyProtection="1">
      <alignment horizontal="center" vertical="center"/>
      <protection locked="0"/>
    </xf>
    <xf numFmtId="176" fontId="31" fillId="0" borderId="15" xfId="7" applyNumberFormat="1" applyFont="1" applyFill="1" applyBorder="1" applyAlignment="1" applyProtection="1">
      <alignment horizontal="center" vertical="center"/>
      <protection locked="0"/>
    </xf>
    <xf numFmtId="176" fontId="31" fillId="0" borderId="19" xfId="7" applyNumberFormat="1" applyFont="1" applyFill="1" applyBorder="1" applyAlignment="1" applyProtection="1">
      <alignment horizontal="center" vertical="center"/>
      <protection locked="0"/>
    </xf>
    <xf numFmtId="176" fontId="31" fillId="0" borderId="19" xfId="13" applyNumberFormat="1" applyFont="1" applyFill="1" applyBorder="1" applyAlignment="1" applyProtection="1">
      <alignment horizontal="center" vertical="center"/>
      <protection locked="0"/>
    </xf>
    <xf numFmtId="176" fontId="30" fillId="0" borderId="14" xfId="7" applyNumberFormat="1" applyFont="1" applyFill="1" applyBorder="1" applyAlignment="1" applyProtection="1">
      <alignment horizontal="center" vertical="center"/>
      <protection locked="0"/>
    </xf>
    <xf numFmtId="176" fontId="30" fillId="0" borderId="10" xfId="7" applyNumberFormat="1" applyFont="1" applyFill="1" applyBorder="1" applyAlignment="1" applyProtection="1">
      <alignment horizontal="center" vertical="center"/>
      <protection locked="0"/>
    </xf>
    <xf numFmtId="176" fontId="31" fillId="0" borderId="14" xfId="13" applyNumberFormat="1" applyFont="1" applyFill="1" applyBorder="1" applyAlignment="1" applyProtection="1">
      <alignment horizontal="center" vertical="center"/>
      <protection locked="0"/>
    </xf>
    <xf numFmtId="176" fontId="31" fillId="0" borderId="20" xfId="7" applyNumberFormat="1" applyFont="1" applyFill="1" applyBorder="1" applyAlignment="1" applyProtection="1">
      <alignment horizontal="center" vertical="center"/>
      <protection locked="0"/>
    </xf>
    <xf numFmtId="176" fontId="30" fillId="0" borderId="20" xfId="13" applyNumberFormat="1" applyFont="1" applyFill="1" applyBorder="1" applyAlignment="1" applyProtection="1">
      <alignment horizontal="center" vertical="center"/>
      <protection locked="0"/>
    </xf>
    <xf numFmtId="176" fontId="30" fillId="0" borderId="14" xfId="13" applyNumberFormat="1" applyFont="1" applyFill="1" applyBorder="1" applyAlignment="1" applyProtection="1">
      <alignment horizontal="center" vertical="center"/>
      <protection locked="0"/>
    </xf>
    <xf numFmtId="176" fontId="31" fillId="0" borderId="20" xfId="13" applyNumberFormat="1" applyFont="1" applyFill="1" applyBorder="1" applyAlignment="1" applyProtection="1">
      <alignment horizontal="center" vertical="center"/>
      <protection locked="0"/>
    </xf>
    <xf numFmtId="176" fontId="31" fillId="0" borderId="14" xfId="7" applyNumberFormat="1" applyFont="1" applyFill="1" applyBorder="1" applyAlignment="1" applyProtection="1">
      <alignment horizontal="center" vertical="center"/>
      <protection locked="0"/>
    </xf>
    <xf numFmtId="176" fontId="31" fillId="0" borderId="10" xfId="7" applyNumberFormat="1" applyFont="1" applyFill="1" applyBorder="1" applyAlignment="1" applyProtection="1">
      <alignment horizontal="center" vertical="center"/>
      <protection locked="0"/>
    </xf>
    <xf numFmtId="176" fontId="31" fillId="0" borderId="20" xfId="10" applyNumberFormat="1" applyFont="1" applyFill="1" applyBorder="1" applyAlignment="1" applyProtection="1">
      <alignment horizontal="center" vertical="center"/>
      <protection locked="0"/>
    </xf>
    <xf numFmtId="179" fontId="38" fillId="0" borderId="10" xfId="0" applyNumberFormat="1" applyFont="1" applyBorder="1" applyProtection="1">
      <alignment vertical="center"/>
      <protection locked="0"/>
    </xf>
    <xf numFmtId="179" fontId="38" fillId="0" borderId="10" xfId="0" applyNumberFormat="1" applyFont="1" applyBorder="1" applyAlignment="1" applyProtection="1">
      <alignment horizontal="center" vertical="center"/>
      <protection locked="0"/>
    </xf>
    <xf numFmtId="176" fontId="7" fillId="0" borderId="10" xfId="0" applyNumberFormat="1" applyFont="1" applyBorder="1" applyAlignment="1" applyProtection="1">
      <alignment horizontal="center" vertical="center"/>
      <protection locked="0"/>
    </xf>
    <xf numFmtId="176" fontId="56" fillId="0" borderId="10" xfId="0" applyNumberFormat="1" applyFont="1" applyBorder="1" applyAlignment="1" applyProtection="1">
      <alignment horizontal="center" vertical="center" wrapText="1"/>
      <protection locked="0"/>
    </xf>
    <xf numFmtId="179" fontId="7" fillId="0" borderId="10" xfId="0" applyNumberFormat="1" applyFont="1" applyBorder="1" applyAlignment="1" applyProtection="1">
      <alignment horizontal="center" vertical="center"/>
      <protection locked="0"/>
    </xf>
    <xf numFmtId="176" fontId="38" fillId="0" borderId="10" xfId="0" applyNumberFormat="1" applyFont="1" applyBorder="1" applyAlignment="1" applyProtection="1">
      <alignment horizontal="center" vertical="center"/>
      <protection locked="0"/>
    </xf>
    <xf numFmtId="49" fontId="38" fillId="0" borderId="10" xfId="0" applyNumberFormat="1" applyFont="1" applyBorder="1" applyAlignment="1" applyProtection="1">
      <alignment horizontal="center" vertical="center"/>
      <protection locked="0"/>
    </xf>
    <xf numFmtId="176" fontId="38" fillId="0" borderId="17" xfId="0" applyNumberFormat="1" applyFont="1" applyBorder="1" applyAlignment="1" applyProtection="1">
      <alignment horizontal="center" vertical="center"/>
      <protection locked="0"/>
    </xf>
    <xf numFmtId="176" fontId="38" fillId="0" borderId="10" xfId="0" applyNumberFormat="1" applyFont="1" applyBorder="1" applyAlignment="1" applyProtection="1">
      <alignment horizontal="center" vertical="center"/>
      <protection locked="0"/>
    </xf>
    <xf numFmtId="0" fontId="53" fillId="6" borderId="14" xfId="3" applyFont="1" applyFill="1" applyBorder="1" applyAlignment="1">
      <alignment horizontal="center" vertical="center"/>
    </xf>
    <xf numFmtId="0" fontId="53" fillId="6" borderId="18" xfId="3" applyFont="1" applyFill="1" applyBorder="1" applyAlignment="1">
      <alignment horizontal="center" vertical="center"/>
    </xf>
    <xf numFmtId="0" fontId="52" fillId="6" borderId="11" xfId="0" applyFont="1" applyFill="1" applyBorder="1" applyAlignment="1">
      <alignment horizontal="center" vertical="center"/>
    </xf>
    <xf numFmtId="0" fontId="38" fillId="0" borderId="17" xfId="3" applyFont="1" applyBorder="1" applyAlignment="1" applyProtection="1">
      <alignment horizontal="right" vertical="center"/>
    </xf>
    <xf numFmtId="0" fontId="0" fillId="0" borderId="9" xfId="0" applyBorder="1" applyAlignment="1" applyProtection="1">
      <alignment horizontal="right" vertical="center"/>
    </xf>
    <xf numFmtId="0" fontId="38" fillId="0" borderId="14" xfId="3" applyFont="1" applyBorder="1" applyAlignment="1" applyProtection="1">
      <alignment horizontal="left" vertical="center" wrapText="1"/>
      <protection locked="0"/>
    </xf>
    <xf numFmtId="0" fontId="0" fillId="0" borderId="18"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53" fillId="6" borderId="0" xfId="0" applyFont="1" applyFill="1" applyAlignment="1" applyProtection="1">
      <alignment horizontal="center" vertical="center" wrapText="1"/>
    </xf>
    <xf numFmtId="0" fontId="0" fillId="0" borderId="0" xfId="0" applyAlignment="1" applyProtection="1">
      <alignment horizontal="center" vertical="center"/>
    </xf>
    <xf numFmtId="0" fontId="57" fillId="0" borderId="15" xfId="0" applyFont="1" applyBorder="1" applyAlignment="1">
      <alignment horizontal="left" vertical="center" wrapText="1"/>
    </xf>
    <xf numFmtId="0" fontId="35" fillId="6" borderId="10" xfId="3" applyFont="1" applyFill="1" applyBorder="1" applyAlignment="1">
      <alignment horizontal="center" vertical="center" wrapText="1"/>
    </xf>
    <xf numFmtId="0" fontId="38" fillId="6" borderId="10" xfId="0" applyFont="1" applyFill="1" applyBorder="1" applyAlignment="1">
      <alignment horizontal="center" vertical="center"/>
    </xf>
    <xf numFmtId="0" fontId="45" fillId="0" borderId="0" xfId="1" applyFont="1" applyFill="1" applyAlignment="1">
      <alignment horizontal="center" vertical="center"/>
    </xf>
    <xf numFmtId="49" fontId="30" fillId="0" borderId="24" xfId="1" applyNumberFormat="1" applyFont="1" applyFill="1" applyBorder="1" applyAlignment="1">
      <alignment horizontal="left" vertical="center"/>
    </xf>
    <xf numFmtId="0" fontId="45" fillId="0" borderId="0" xfId="2" applyFont="1" applyFill="1" applyAlignment="1">
      <alignment horizontal="center" vertical="center"/>
    </xf>
    <xf numFmtId="0" fontId="30" fillId="0" borderId="1" xfId="2" applyNumberFormat="1" applyFont="1" applyFill="1" applyBorder="1" applyAlignment="1">
      <alignment vertical="center"/>
    </xf>
    <xf numFmtId="0" fontId="30" fillId="0" borderId="24" xfId="1" applyFont="1" applyFill="1" applyBorder="1" applyAlignment="1">
      <alignment horizontal="left" vertical="center"/>
    </xf>
    <xf numFmtId="0" fontId="30" fillId="0" borderId="13" xfId="1" applyFont="1" applyFill="1" applyBorder="1" applyAlignment="1">
      <alignment vertical="center"/>
    </xf>
    <xf numFmtId="0" fontId="58" fillId="0" borderId="0" xfId="4" applyNumberFormat="1" applyFont="1" applyFill="1" applyBorder="1" applyAlignment="1">
      <alignment horizontal="center" vertical="center"/>
    </xf>
    <xf numFmtId="31" fontId="34" fillId="0" borderId="0" xfId="4" applyNumberFormat="1" applyFont="1" applyFill="1" applyBorder="1" applyAlignment="1" applyProtection="1">
      <alignment horizontal="center" vertical="center"/>
      <protection locked="0"/>
    </xf>
    <xf numFmtId="43" fontId="33" fillId="0" borderId="26" xfId="10" applyFont="1" applyFill="1" applyBorder="1" applyAlignment="1">
      <alignment horizontal="right" vertical="center"/>
    </xf>
    <xf numFmtId="0" fontId="30" fillId="0" borderId="26" xfId="0" applyFont="1" applyBorder="1" applyAlignment="1">
      <alignment vertical="center"/>
    </xf>
    <xf numFmtId="0" fontId="25" fillId="0" borderId="0" xfId="7" applyFont="1" applyFill="1" applyAlignment="1">
      <alignment horizontal="center" vertical="center"/>
    </xf>
    <xf numFmtId="0" fontId="9" fillId="0" borderId="0" xfId="7" applyFont="1" applyFill="1" applyAlignment="1" applyProtection="1">
      <alignment horizontal="center" vertical="center"/>
      <protection locked="0"/>
    </xf>
    <xf numFmtId="0" fontId="8" fillId="0" borderId="0" xfId="7" applyFont="1" applyFill="1" applyAlignment="1" applyProtection="1">
      <alignment horizontal="center" vertical="center"/>
      <protection locked="0"/>
    </xf>
    <xf numFmtId="179" fontId="30" fillId="0" borderId="26" xfId="7" applyNumberFormat="1" applyFont="1" applyFill="1" applyBorder="1" applyAlignment="1">
      <alignment horizontal="right" vertical="center"/>
    </xf>
    <xf numFmtId="0" fontId="38" fillId="0" borderId="26" xfId="0" applyFont="1" applyFill="1" applyBorder="1" applyAlignment="1">
      <alignment horizontal="right" vertical="center"/>
    </xf>
    <xf numFmtId="0" fontId="25" fillId="0" borderId="0" xfId="6" applyFont="1" applyAlignment="1" applyProtection="1">
      <alignment horizontal="center" vertical="center"/>
      <protection hidden="1"/>
    </xf>
    <xf numFmtId="0" fontId="26" fillId="0" borderId="0" xfId="6" applyFont="1" applyAlignment="1" applyProtection="1">
      <alignment horizontal="center" vertical="center"/>
      <protection hidden="1"/>
    </xf>
    <xf numFmtId="0" fontId="9" fillId="0" borderId="0" xfId="6" applyFont="1" applyAlignment="1" applyProtection="1">
      <alignment horizontal="center" vertical="center"/>
      <protection locked="0"/>
    </xf>
    <xf numFmtId="0" fontId="8" fillId="0" borderId="0" xfId="6" applyFont="1" applyAlignment="1" applyProtection="1">
      <alignment horizontal="center" vertical="center"/>
      <protection locked="0"/>
    </xf>
    <xf numFmtId="0" fontId="30" fillId="0" borderId="26" xfId="6" applyFont="1" applyBorder="1" applyAlignment="1" applyProtection="1">
      <alignment horizontal="right" vertical="center"/>
      <protection hidden="1"/>
    </xf>
    <xf numFmtId="0" fontId="38" fillId="0" borderId="26" xfId="0" applyFont="1" applyBorder="1" applyAlignment="1">
      <alignment vertical="center"/>
    </xf>
    <xf numFmtId="0" fontId="48" fillId="0" borderId="0" xfId="0" applyFont="1" applyAlignment="1">
      <alignment horizontal="center" vertical="center"/>
    </xf>
    <xf numFmtId="0" fontId="46" fillId="0" borderId="0" xfId="8" applyFont="1" applyAlignment="1">
      <alignment horizontal="center" vertical="center"/>
    </xf>
    <xf numFmtId="0" fontId="38" fillId="0" borderId="26" xfId="0" applyFont="1" applyBorder="1" applyAlignment="1" applyProtection="1">
      <alignment horizontal="center" vertical="center"/>
      <protection locked="0"/>
    </xf>
    <xf numFmtId="0" fontId="59" fillId="0" borderId="0" xfId="0" applyFont="1" applyAlignment="1">
      <alignment horizontal="center" vertical="center"/>
    </xf>
    <xf numFmtId="0" fontId="60" fillId="0" borderId="0" xfId="8" applyFont="1" applyAlignment="1">
      <alignment horizontal="center" vertical="center"/>
    </xf>
    <xf numFmtId="0" fontId="47" fillId="0" borderId="0" xfId="0" applyFont="1" applyAlignment="1">
      <alignment horizontal="center" vertical="center"/>
    </xf>
    <xf numFmtId="0" fontId="25" fillId="0" borderId="0" xfId="0" applyFont="1" applyFill="1" applyBorder="1" applyAlignment="1" applyProtection="1">
      <alignment horizontal="center"/>
    </xf>
    <xf numFmtId="31" fontId="7" fillId="0" borderId="0" xfId="0" applyNumberFormat="1" applyFont="1" applyFill="1" applyBorder="1" applyAlignment="1" applyProtection="1">
      <alignment horizontal="center"/>
      <protection locked="0"/>
    </xf>
    <xf numFmtId="39" fontId="25" fillId="0" borderId="0" xfId="0" applyNumberFormat="1" applyFont="1" applyBorder="1" applyAlignment="1" applyProtection="1">
      <alignment horizontal="center" vertical="center"/>
    </xf>
    <xf numFmtId="39" fontId="7" fillId="0" borderId="0" xfId="0" applyNumberFormat="1" applyFont="1" applyBorder="1" applyAlignment="1" applyProtection="1">
      <alignment horizontal="center" vertical="center"/>
      <protection locked="0"/>
    </xf>
    <xf numFmtId="0" fontId="59" fillId="0" borderId="0" xfId="0" applyFont="1" applyAlignment="1" applyProtection="1">
      <alignment horizontal="center" vertical="center"/>
    </xf>
    <xf numFmtId="0" fontId="39" fillId="0" borderId="26" xfId="0" applyFont="1" applyBorder="1" applyAlignment="1" applyProtection="1">
      <alignment horizontal="center" vertical="center"/>
      <protection locked="0"/>
    </xf>
    <xf numFmtId="0" fontId="25" fillId="0" borderId="0" xfId="0" applyFont="1" applyFill="1" applyBorder="1" applyAlignment="1" applyProtection="1">
      <alignment horizontal="center" vertical="center"/>
    </xf>
    <xf numFmtId="31" fontId="7" fillId="0" borderId="0" xfId="0" applyNumberFormat="1" applyFont="1" applyFill="1" applyBorder="1" applyAlignment="1" applyProtection="1">
      <alignment horizontal="center" vertical="center"/>
      <protection locked="0"/>
    </xf>
    <xf numFmtId="0" fontId="38" fillId="0" borderId="17" xfId="0" applyFont="1" applyBorder="1" applyAlignment="1">
      <alignment horizontal="left" vertical="center"/>
    </xf>
    <xf numFmtId="0" fontId="38" fillId="0" borderId="16" xfId="0" applyFont="1" applyBorder="1" applyAlignment="1">
      <alignment horizontal="left" vertical="center"/>
    </xf>
    <xf numFmtId="0" fontId="38" fillId="0" borderId="9" xfId="0" applyFont="1" applyBorder="1" applyAlignment="1">
      <alignment horizontal="left" vertical="center"/>
    </xf>
    <xf numFmtId="176" fontId="38" fillId="0" borderId="17" xfId="0" applyNumberFormat="1" applyFont="1" applyBorder="1" applyAlignment="1" applyProtection="1">
      <alignment horizontal="center" vertical="center"/>
      <protection locked="0"/>
    </xf>
    <xf numFmtId="176" fontId="38" fillId="0" borderId="16" xfId="0" applyNumberFormat="1" applyFont="1" applyBorder="1" applyAlignment="1" applyProtection="1">
      <alignment horizontal="center" vertical="center"/>
      <protection locked="0"/>
    </xf>
    <xf numFmtId="176" fontId="38" fillId="0" borderId="9" xfId="0" applyNumberFormat="1" applyFont="1" applyBorder="1" applyAlignment="1" applyProtection="1">
      <alignment horizontal="center" vertical="center"/>
      <protection locked="0"/>
    </xf>
    <xf numFmtId="0" fontId="35" fillId="0" borderId="10" xfId="0" applyFont="1" applyBorder="1" applyAlignment="1">
      <alignment horizontal="center" vertical="center"/>
    </xf>
    <xf numFmtId="0" fontId="38" fillId="0" borderId="17" xfId="0" applyFont="1" applyBorder="1" applyAlignment="1">
      <alignment horizontal="left" vertical="center" wrapText="1"/>
    </xf>
    <xf numFmtId="0" fontId="38" fillId="0" borderId="16" xfId="0" applyFont="1" applyBorder="1" applyAlignment="1">
      <alignment horizontal="left" vertical="center" wrapText="1"/>
    </xf>
    <xf numFmtId="0" fontId="38" fillId="0" borderId="9" xfId="0" applyFont="1" applyBorder="1" applyAlignment="1">
      <alignment horizontal="left" vertical="center" wrapText="1"/>
    </xf>
    <xf numFmtId="0" fontId="38" fillId="0" borderId="0" xfId="0" applyFont="1" applyBorder="1" applyAlignment="1" applyProtection="1">
      <alignment horizontal="center" vertical="center"/>
      <protection locked="0"/>
    </xf>
    <xf numFmtId="0" fontId="61" fillId="0" borderId="0" xfId="4" applyNumberFormat="1" applyFont="1" applyFill="1" applyBorder="1" applyAlignment="1" applyProtection="1">
      <alignment horizontal="center" vertical="center"/>
    </xf>
    <xf numFmtId="0" fontId="47" fillId="0" borderId="0" xfId="0" applyFont="1" applyAlignment="1" applyProtection="1">
      <alignment vertical="center"/>
    </xf>
    <xf numFmtId="0" fontId="34" fillId="0" borderId="26" xfId="4" applyNumberFormat="1" applyFont="1" applyFill="1" applyBorder="1" applyAlignment="1" applyProtection="1">
      <alignment horizontal="right" vertical="center"/>
    </xf>
    <xf numFmtId="0" fontId="0" fillId="0" borderId="26" xfId="0" applyBorder="1" applyAlignment="1" applyProtection="1">
      <alignment horizontal="right" vertical="center"/>
    </xf>
    <xf numFmtId="0" fontId="60" fillId="0" borderId="0" xfId="7" applyFont="1" applyFill="1" applyBorder="1" applyAlignment="1" applyProtection="1">
      <alignment horizontal="center" vertical="center"/>
    </xf>
    <xf numFmtId="0" fontId="31" fillId="0" borderId="0" xfId="7" applyFont="1" applyFill="1" applyBorder="1" applyAlignment="1" applyProtection="1">
      <alignment horizontal="center" vertical="center"/>
      <protection locked="0"/>
    </xf>
    <xf numFmtId="0" fontId="31" fillId="0" borderId="28" xfId="7" applyFont="1" applyFill="1" applyBorder="1" applyAlignment="1">
      <alignment horizontal="center" vertical="center"/>
    </xf>
    <xf numFmtId="0" fontId="31" fillId="0" borderId="8" xfId="7" applyFont="1" applyFill="1" applyBorder="1" applyAlignment="1">
      <alignment horizontal="center" vertical="center"/>
    </xf>
    <xf numFmtId="179" fontId="31" fillId="0" borderId="14" xfId="7" applyNumberFormat="1" applyFont="1" applyFill="1" applyBorder="1" applyAlignment="1">
      <alignment horizontal="center" vertical="center"/>
    </xf>
    <xf numFmtId="179" fontId="31" fillId="0" borderId="18" xfId="7" applyNumberFormat="1" applyFont="1" applyFill="1" applyBorder="1" applyAlignment="1">
      <alignment horizontal="center" vertical="center"/>
    </xf>
    <xf numFmtId="179" fontId="31" fillId="0" borderId="11" xfId="7" applyNumberFormat="1" applyFont="1" applyFill="1" applyBorder="1" applyAlignment="1">
      <alignment horizontal="center" vertical="center"/>
    </xf>
    <xf numFmtId="179" fontId="31" fillId="0" borderId="10" xfId="7" applyNumberFormat="1" applyFont="1" applyFill="1" applyBorder="1" applyAlignment="1">
      <alignment horizontal="center" vertical="center"/>
    </xf>
    <xf numFmtId="0" fontId="60" fillId="0" borderId="0" xfId="6" applyFont="1" applyFill="1" applyBorder="1" applyAlignment="1" applyProtection="1">
      <alignment horizontal="center" vertical="center"/>
      <protection hidden="1"/>
    </xf>
    <xf numFmtId="0" fontId="31" fillId="0" borderId="0" xfId="6" applyFont="1" applyFill="1" applyBorder="1" applyAlignment="1" applyProtection="1">
      <alignment horizontal="center" vertical="center"/>
      <protection locked="0"/>
    </xf>
    <xf numFmtId="0" fontId="0" fillId="0" borderId="26" xfId="0" applyBorder="1" applyAlignment="1" applyProtection="1">
      <alignment vertical="center"/>
      <protection locked="0"/>
    </xf>
    <xf numFmtId="0" fontId="38" fillId="0" borderId="11" xfId="0" applyFont="1" applyBorder="1" applyAlignment="1">
      <alignment horizontal="left" vertical="center"/>
    </xf>
    <xf numFmtId="0" fontId="38" fillId="0" borderId="10" xfId="0" applyFont="1" applyBorder="1" applyAlignment="1">
      <alignment horizontal="left" vertical="center"/>
    </xf>
    <xf numFmtId="176" fontId="38" fillId="0" borderId="10" xfId="0" applyNumberFormat="1" applyFont="1" applyBorder="1" applyAlignment="1" applyProtection="1">
      <alignment horizontal="center" vertical="center"/>
      <protection locked="0"/>
    </xf>
    <xf numFmtId="0" fontId="38" fillId="0" borderId="0" xfId="0" applyFont="1" applyAlignment="1" applyProtection="1">
      <alignment horizontal="left" vertical="center"/>
      <protection locked="0"/>
    </xf>
    <xf numFmtId="0" fontId="38" fillId="0" borderId="11" xfId="0" applyFont="1" applyBorder="1" applyAlignment="1">
      <alignment horizontal="center" vertical="center"/>
    </xf>
    <xf numFmtId="0" fontId="38" fillId="0" borderId="10" xfId="0" applyFont="1" applyBorder="1" applyAlignment="1">
      <alignment horizontal="center" vertical="center"/>
    </xf>
    <xf numFmtId="0" fontId="35" fillId="0" borderId="10" xfId="0" applyFont="1" applyBorder="1">
      <alignment vertical="center"/>
    </xf>
    <xf numFmtId="0" fontId="35" fillId="0" borderId="10" xfId="0" applyFont="1" applyBorder="1" applyAlignment="1">
      <alignment horizontal="left" vertical="center"/>
    </xf>
    <xf numFmtId="0" fontId="38" fillId="0" borderId="10" xfId="0" applyFont="1" applyBorder="1">
      <alignment vertical="center"/>
    </xf>
    <xf numFmtId="0" fontId="38" fillId="0" borderId="10" xfId="0" applyFont="1" applyBorder="1" applyAlignment="1">
      <alignment horizontal="center" vertical="center" wrapText="1"/>
    </xf>
    <xf numFmtId="0" fontId="0" fillId="0" borderId="0" xfId="0" applyAlignment="1" applyProtection="1">
      <alignment vertical="center"/>
      <protection locked="0"/>
    </xf>
    <xf numFmtId="0" fontId="48" fillId="0" borderId="28" xfId="0" applyFont="1" applyBorder="1" applyAlignment="1">
      <alignment horizontal="center" vertical="center"/>
    </xf>
    <xf numFmtId="0" fontId="48" fillId="0" borderId="17" xfId="0" applyFont="1" applyBorder="1" applyAlignment="1">
      <alignment horizontal="center" vertical="center"/>
    </xf>
    <xf numFmtId="0" fontId="48" fillId="0" borderId="19" xfId="0" applyFont="1" applyBorder="1" applyAlignment="1">
      <alignment horizontal="center" vertical="center"/>
    </xf>
    <xf numFmtId="0" fontId="7" fillId="0" borderId="26" xfId="0" applyFont="1" applyBorder="1" applyAlignment="1" applyProtection="1">
      <alignment horizontal="right" vertical="center"/>
    </xf>
    <xf numFmtId="39" fontId="25" fillId="0" borderId="0" xfId="0" applyNumberFormat="1" applyFont="1" applyBorder="1" applyAlignment="1" applyProtection="1">
      <alignment horizontal="center"/>
    </xf>
    <xf numFmtId="39" fontId="7" fillId="0" borderId="0" xfId="0" applyNumberFormat="1" applyFont="1" applyBorder="1" applyAlignment="1" applyProtection="1">
      <alignment horizontal="center"/>
      <protection locked="0"/>
    </xf>
    <xf numFmtId="0" fontId="35" fillId="6" borderId="14" xfId="3" applyFont="1" applyFill="1" applyBorder="1" applyAlignment="1">
      <alignment horizontal="center" vertical="center"/>
    </xf>
    <xf numFmtId="0" fontId="38" fillId="0" borderId="18" xfId="0" applyFont="1" applyBorder="1" applyAlignment="1">
      <alignment horizontal="center" vertical="center"/>
    </xf>
    <xf numFmtId="0" fontId="35" fillId="6" borderId="14" xfId="3" applyFont="1" applyFill="1" applyBorder="1" applyAlignment="1">
      <alignment horizontal="center" vertical="center" wrapText="1"/>
    </xf>
    <xf numFmtId="0" fontId="35" fillId="6" borderId="18" xfId="3" applyFont="1" applyFill="1" applyBorder="1" applyAlignment="1">
      <alignment horizontal="center" vertical="center" wrapText="1"/>
    </xf>
    <xf numFmtId="0" fontId="38" fillId="6" borderId="11" xfId="0" applyFont="1" applyFill="1" applyBorder="1" applyAlignment="1">
      <alignment horizontal="center" vertical="center"/>
    </xf>
    <xf numFmtId="0" fontId="38" fillId="0" borderId="10" xfId="0" applyFont="1" applyBorder="1" applyAlignment="1" applyProtection="1">
      <alignment horizontal="left" vertical="center" wrapText="1"/>
      <protection locked="0"/>
    </xf>
    <xf numFmtId="0" fontId="35" fillId="6" borderId="20" xfId="3" applyFont="1" applyFill="1" applyBorder="1" applyAlignment="1">
      <alignment horizontal="center" vertical="center"/>
    </xf>
    <xf numFmtId="0" fontId="38" fillId="0" borderId="0" xfId="0" applyFont="1" applyBorder="1" applyAlignment="1">
      <alignment horizontal="center" vertical="center"/>
    </xf>
    <xf numFmtId="0" fontId="0" fillId="0" borderId="0" xfId="0" applyAlignment="1">
      <alignment horizontal="center" vertical="center"/>
    </xf>
    <xf numFmtId="0" fontId="35" fillId="6" borderId="29" xfId="3" applyFont="1" applyFill="1" applyBorder="1" applyAlignment="1">
      <alignment horizontal="center" vertical="center"/>
    </xf>
    <xf numFmtId="0" fontId="38" fillId="0" borderId="26" xfId="0" applyFont="1" applyBorder="1" applyAlignment="1">
      <alignment horizontal="center" vertical="center"/>
    </xf>
    <xf numFmtId="0" fontId="0" fillId="0" borderId="26" xfId="0" applyBorder="1" applyAlignment="1">
      <alignment vertical="center"/>
    </xf>
    <xf numFmtId="0" fontId="35" fillId="6" borderId="10" xfId="3" applyFont="1" applyFill="1" applyBorder="1" applyAlignment="1">
      <alignment horizontal="center" vertical="center"/>
    </xf>
    <xf numFmtId="0" fontId="0" fillId="0" borderId="10" xfId="0" applyBorder="1" applyAlignment="1">
      <alignment horizontal="center" vertical="center"/>
    </xf>
    <xf numFmtId="0" fontId="35" fillId="6" borderId="0" xfId="3" applyFont="1" applyFill="1" applyBorder="1" applyAlignment="1">
      <alignment horizontal="center" vertical="center"/>
    </xf>
    <xf numFmtId="0" fontId="0" fillId="6" borderId="0" xfId="0" applyFill="1" applyAlignment="1">
      <alignment horizontal="center" vertical="center"/>
    </xf>
    <xf numFmtId="0" fontId="0" fillId="0" borderId="11" xfId="0" applyBorder="1" applyAlignment="1">
      <alignment horizontal="center" vertical="center"/>
    </xf>
    <xf numFmtId="0" fontId="38" fillId="0" borderId="14" xfId="0" applyFont="1" applyBorder="1" applyAlignment="1">
      <alignment horizontal="left" vertical="center"/>
    </xf>
    <xf numFmtId="0" fontId="0" fillId="0" borderId="18" xfId="0" applyBorder="1" applyAlignment="1">
      <alignment horizontal="left" vertical="center"/>
    </xf>
    <xf numFmtId="0" fontId="0" fillId="0" borderId="11" xfId="0" applyBorder="1" applyAlignment="1">
      <alignment horizontal="left" vertical="center"/>
    </xf>
    <xf numFmtId="0" fontId="0" fillId="0" borderId="0" xfId="0" applyBorder="1" applyAlignment="1">
      <alignment horizontal="center" vertical="center"/>
    </xf>
    <xf numFmtId="0" fontId="0" fillId="0" borderId="0" xfId="0" applyAlignment="1">
      <alignment vertical="center"/>
    </xf>
    <xf numFmtId="179" fontId="62" fillId="0" borderId="10" xfId="12" applyNumberFormat="1" applyFont="1" applyFill="1" applyBorder="1" applyAlignment="1" applyProtection="1">
      <alignment horizontal="center" vertical="center"/>
      <protection locked="0"/>
    </xf>
    <xf numFmtId="179" fontId="62" fillId="0" borderId="10" xfId="10" applyNumberFormat="1" applyFont="1" applyFill="1" applyBorder="1" applyAlignment="1" applyProtection="1">
      <alignment horizontal="center" vertical="center"/>
      <protection locked="0"/>
    </xf>
    <xf numFmtId="179" fontId="63" fillId="0" borderId="10" xfId="12" applyNumberFormat="1" applyFont="1" applyFill="1" applyBorder="1" applyAlignment="1" applyProtection="1">
      <alignment horizontal="center" vertical="center"/>
      <protection locked="0"/>
    </xf>
    <xf numFmtId="176" fontId="62" fillId="0" borderId="14" xfId="10" applyNumberFormat="1" applyFont="1" applyFill="1" applyBorder="1" applyAlignment="1" applyProtection="1">
      <alignment horizontal="center" vertical="center"/>
      <protection locked="0"/>
    </xf>
    <xf numFmtId="176" fontId="62" fillId="0" borderId="10" xfId="10" applyNumberFormat="1" applyFont="1" applyFill="1" applyBorder="1" applyAlignment="1" applyProtection="1">
      <alignment horizontal="center" vertical="center"/>
      <protection locked="0"/>
    </xf>
    <xf numFmtId="176" fontId="63" fillId="0" borderId="14" xfId="10" applyNumberFormat="1" applyFont="1" applyFill="1" applyBorder="1" applyAlignment="1" applyProtection="1">
      <alignment horizontal="center" vertical="center"/>
      <protection locked="0"/>
    </xf>
    <xf numFmtId="176" fontId="63" fillId="0" borderId="10" xfId="10" applyNumberFormat="1" applyFont="1" applyFill="1" applyBorder="1" applyAlignment="1" applyProtection="1">
      <alignment horizontal="center" vertical="center"/>
      <protection locked="0"/>
    </xf>
    <xf numFmtId="179" fontId="63" fillId="0" borderId="14" xfId="13" applyNumberFormat="1" applyFont="1" applyFill="1" applyBorder="1" applyAlignment="1" applyProtection="1">
      <alignment horizontal="center" vertical="center"/>
      <protection locked="0"/>
    </xf>
    <xf numFmtId="179" fontId="62" fillId="0" borderId="14" xfId="10" applyNumberFormat="1" applyFont="1" applyFill="1" applyBorder="1" applyAlignment="1" applyProtection="1">
      <alignment horizontal="center" vertical="center"/>
      <protection locked="0"/>
    </xf>
    <xf numFmtId="176" fontId="62" fillId="0" borderId="10" xfId="14" applyNumberFormat="1" applyFont="1" applyBorder="1" applyAlignment="1" applyProtection="1">
      <alignment horizontal="center" vertical="center"/>
      <protection locked="0"/>
    </xf>
    <xf numFmtId="176" fontId="63" fillId="0" borderId="10" xfId="14" applyNumberFormat="1" applyFont="1" applyBorder="1" applyAlignment="1" applyProtection="1">
      <alignment horizontal="center" vertical="center"/>
      <protection locked="0"/>
    </xf>
    <xf numFmtId="176" fontId="64" fillId="0" borderId="10" xfId="0" applyNumberFormat="1" applyFont="1" applyBorder="1" applyAlignment="1" applyProtection="1">
      <alignment horizontal="center" vertical="center"/>
      <protection locked="0"/>
    </xf>
    <xf numFmtId="176" fontId="62" fillId="0" borderId="10" xfId="8" applyNumberFormat="1" applyFont="1" applyBorder="1" applyAlignment="1" applyProtection="1">
      <alignment horizontal="center" vertical="center"/>
      <protection locked="0"/>
    </xf>
  </cellXfs>
  <cellStyles count="15">
    <cellStyle name="0,0_x000d__x000a_NA_x000d__x000a_ 2" xfId="1"/>
    <cellStyle name="0,0_x000d__x000a_NA_x000d__x000a__利润表" xfId="2"/>
    <cellStyle name="常规" xfId="0" builtinId="0"/>
    <cellStyle name="常规 2" xfId="3"/>
    <cellStyle name="常规_98年年报" xfId="4"/>
    <cellStyle name="常规_lonkey96" xfId="5"/>
    <cellStyle name="常规_new-cashflow" xfId="6"/>
    <cellStyle name="常规_Sheet1 (2)" xfId="7"/>
    <cellStyle name="常规_会计报表格式(适用于工商类企业)" xfId="8"/>
    <cellStyle name="常规_祈福仙湖酒店wp" xfId="9"/>
    <cellStyle name="千位分隔" xfId="10" builtinId="3"/>
    <cellStyle name="千位分隔[0]_98年年报" xfId="11"/>
    <cellStyle name="千位分隔_98年年报" xfId="12"/>
    <cellStyle name="千位分隔_lonkey96" xfId="13"/>
    <cellStyle name="千位分隔_new-cashflow" xfId="1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H52"/>
  <sheetViews>
    <sheetView tabSelected="1" zoomScale="85" zoomScaleNormal="85" workbookViewId="0">
      <selection activeCell="B1" sqref="B1"/>
    </sheetView>
  </sheetViews>
  <sheetFormatPr defaultRowHeight="14"/>
  <cols>
    <col min="1" max="1" width="25.08984375" customWidth="1"/>
    <col min="2" max="2" width="33.90625" customWidth="1"/>
    <col min="3" max="3" width="50" customWidth="1"/>
    <col min="4" max="4" width="53.08984375" customWidth="1"/>
    <col min="5" max="5" width="21" customWidth="1"/>
    <col min="6" max="8" width="21" hidden="1" customWidth="1"/>
    <col min="9" max="12" width="21" customWidth="1"/>
  </cols>
  <sheetData>
    <row r="1" spans="1:8" s="368" customFormat="1" ht="28" customHeight="1">
      <c r="A1" s="502" t="s">
        <v>2034</v>
      </c>
      <c r="B1" s="503" t="s">
        <v>2174</v>
      </c>
      <c r="F1" s="444" t="s">
        <v>1980</v>
      </c>
      <c r="G1" s="368" t="s">
        <v>2046</v>
      </c>
    </row>
    <row r="2" spans="1:8" s="368" customFormat="1" ht="25" customHeight="1">
      <c r="A2" s="646" t="s">
        <v>1783</v>
      </c>
      <c r="B2" s="647"/>
      <c r="C2" s="647"/>
      <c r="D2" s="648"/>
      <c r="F2" s="444" t="s">
        <v>1981</v>
      </c>
      <c r="G2" s="368" t="s">
        <v>2161</v>
      </c>
      <c r="H2" t="s">
        <v>2064</v>
      </c>
    </row>
    <row r="3" spans="1:8" s="368" customFormat="1" ht="23.15" customHeight="1">
      <c r="A3" s="442" t="s">
        <v>1897</v>
      </c>
      <c r="B3" s="489">
        <f>D3</f>
        <v>0</v>
      </c>
      <c r="C3" s="386" t="s">
        <v>1907</v>
      </c>
      <c r="D3" s="563"/>
      <c r="F3" s="444" t="s">
        <v>1982</v>
      </c>
      <c r="H3" t="s">
        <v>2065</v>
      </c>
    </row>
    <row r="4" spans="1:8" ht="23.15" customHeight="1">
      <c r="A4" s="442" t="s">
        <v>1899</v>
      </c>
      <c r="B4" s="500" t="s">
        <v>2162</v>
      </c>
      <c r="C4" s="386" t="s">
        <v>1908</v>
      </c>
      <c r="D4" s="563" t="s">
        <v>2163</v>
      </c>
      <c r="F4" s="444" t="s">
        <v>1983</v>
      </c>
      <c r="H4" t="s">
        <v>2066</v>
      </c>
    </row>
    <row r="5" spans="1:8" ht="23.15" customHeight="1">
      <c r="A5" s="442" t="s">
        <v>1898</v>
      </c>
      <c r="B5" s="500" t="s">
        <v>2165</v>
      </c>
      <c r="C5" s="386" t="s">
        <v>1909</v>
      </c>
      <c r="D5" s="563" t="s">
        <v>2164</v>
      </c>
      <c r="F5" s="444" t="s">
        <v>1984</v>
      </c>
      <c r="H5" t="s">
        <v>2067</v>
      </c>
    </row>
    <row r="6" spans="1:8" ht="23.15" customHeight="1">
      <c r="A6" s="443" t="s">
        <v>1925</v>
      </c>
      <c r="B6" s="564"/>
      <c r="C6" s="425" t="s">
        <v>1923</v>
      </c>
      <c r="D6" s="566"/>
      <c r="F6" s="444" t="s">
        <v>1985</v>
      </c>
      <c r="H6" t="s">
        <v>2068</v>
      </c>
    </row>
    <row r="7" spans="1:8" ht="23.15" customHeight="1">
      <c r="A7" s="442" t="s">
        <v>1900</v>
      </c>
      <c r="B7" s="500" t="s">
        <v>2166</v>
      </c>
      <c r="C7" s="386" t="s">
        <v>2058</v>
      </c>
      <c r="D7" s="573"/>
      <c r="F7" s="444" t="s">
        <v>1986</v>
      </c>
      <c r="H7" t="s">
        <v>2069</v>
      </c>
    </row>
    <row r="8" spans="1:8" ht="23.15" customHeight="1">
      <c r="A8" s="442" t="s">
        <v>1901</v>
      </c>
      <c r="B8" s="565" t="s">
        <v>1682</v>
      </c>
      <c r="C8" s="426" t="s">
        <v>1938</v>
      </c>
      <c r="D8" s="568"/>
      <c r="F8" s="444" t="s">
        <v>1987</v>
      </c>
      <c r="H8" t="s">
        <v>2070</v>
      </c>
    </row>
    <row r="9" spans="1:8" ht="23.15" customHeight="1">
      <c r="A9" s="442" t="s">
        <v>1902</v>
      </c>
      <c r="B9" s="500"/>
      <c r="C9" s="386" t="s">
        <v>2062</v>
      </c>
      <c r="D9" s="569"/>
      <c r="F9" s="444" t="s">
        <v>1988</v>
      </c>
      <c r="H9" t="s">
        <v>2071</v>
      </c>
    </row>
    <row r="10" spans="1:8" ht="23.15" customHeight="1">
      <c r="A10" s="442" t="s">
        <v>1903</v>
      </c>
      <c r="B10" s="500"/>
      <c r="C10" s="386" t="s">
        <v>2122</v>
      </c>
      <c r="D10" s="566" t="s">
        <v>2102</v>
      </c>
      <c r="F10" s="444" t="s">
        <v>1989</v>
      </c>
      <c r="H10" t="s">
        <v>2072</v>
      </c>
    </row>
    <row r="11" spans="1:8" ht="23.15" customHeight="1">
      <c r="A11" s="442" t="s">
        <v>2060</v>
      </c>
      <c r="B11" s="535"/>
      <c r="C11" s="386" t="s">
        <v>1910</v>
      </c>
      <c r="D11" s="570"/>
      <c r="F11" s="444" t="s">
        <v>1990</v>
      </c>
      <c r="H11" t="s">
        <v>2073</v>
      </c>
    </row>
    <row r="12" spans="1:8" ht="23.15" customHeight="1">
      <c r="A12" s="442" t="s">
        <v>1904</v>
      </c>
      <c r="B12" s="651"/>
      <c r="C12" s="652"/>
      <c r="D12" s="653"/>
      <c r="F12" s="444" t="s">
        <v>1991</v>
      </c>
      <c r="H12" t="s">
        <v>2074</v>
      </c>
    </row>
    <row r="13" spans="1:8" ht="23.15" customHeight="1">
      <c r="A13" s="649" t="s">
        <v>1905</v>
      </c>
      <c r="B13" s="427"/>
      <c r="C13" s="427"/>
      <c r="D13" s="428"/>
      <c r="F13" s="444" t="s">
        <v>1992</v>
      </c>
      <c r="H13" t="s">
        <v>2075</v>
      </c>
    </row>
    <row r="14" spans="1:8" ht="23.15" customHeight="1">
      <c r="A14" s="650"/>
      <c r="B14" s="427"/>
      <c r="C14" s="427"/>
      <c r="D14" s="561"/>
      <c r="F14" s="444" t="s">
        <v>1993</v>
      </c>
      <c r="H14" t="s">
        <v>2076</v>
      </c>
    </row>
    <row r="15" spans="1:8" ht="23.15" customHeight="1">
      <c r="A15" s="442" t="s">
        <v>1906</v>
      </c>
      <c r="B15" s="500" t="s">
        <v>2172</v>
      </c>
      <c r="C15" s="386" t="s">
        <v>1924</v>
      </c>
      <c r="D15" s="377"/>
      <c r="F15" s="444" t="s">
        <v>1994</v>
      </c>
      <c r="H15" t="s">
        <v>2077</v>
      </c>
    </row>
    <row r="16" spans="1:8" ht="23.15" customHeight="1">
      <c r="A16" s="442" t="s">
        <v>2019</v>
      </c>
      <c r="B16" s="500" t="s">
        <v>2173</v>
      </c>
      <c r="C16" s="386" t="s">
        <v>1911</v>
      </c>
      <c r="D16" s="642"/>
      <c r="F16" s="444" t="s">
        <v>1995</v>
      </c>
      <c r="H16" t="s">
        <v>2078</v>
      </c>
    </row>
    <row r="17" spans="1:8" s="368" customFormat="1" ht="14.25" customHeight="1">
      <c r="A17"/>
      <c r="B17"/>
      <c r="D17"/>
      <c r="E17"/>
      <c r="F17" s="444" t="s">
        <v>1996</v>
      </c>
      <c r="G17"/>
      <c r="H17" t="s">
        <v>2079</v>
      </c>
    </row>
    <row r="18" spans="1:8">
      <c r="F18" s="444" t="s">
        <v>1997</v>
      </c>
      <c r="H18" t="s">
        <v>2080</v>
      </c>
    </row>
    <row r="19" spans="1:8">
      <c r="F19" s="444" t="s">
        <v>2035</v>
      </c>
      <c r="H19" t="s">
        <v>2081</v>
      </c>
    </row>
    <row r="20" spans="1:8">
      <c r="F20" s="444" t="s">
        <v>2036</v>
      </c>
      <c r="H20" t="s">
        <v>2082</v>
      </c>
    </row>
    <row r="21" spans="1:8">
      <c r="F21" s="444" t="s">
        <v>2037</v>
      </c>
      <c r="H21" t="s">
        <v>2083</v>
      </c>
    </row>
    <row r="22" spans="1:8">
      <c r="F22" s="444" t="s">
        <v>2038</v>
      </c>
      <c r="H22" t="s">
        <v>2084</v>
      </c>
    </row>
    <row r="23" spans="1:8">
      <c r="F23" s="444" t="s">
        <v>2126</v>
      </c>
      <c r="H23" t="s">
        <v>2085</v>
      </c>
    </row>
    <row r="24" spans="1:8">
      <c r="F24" s="444" t="s">
        <v>2039</v>
      </c>
      <c r="H24" t="s">
        <v>2086</v>
      </c>
    </row>
    <row r="25" spans="1:8">
      <c r="F25" s="444" t="s">
        <v>2040</v>
      </c>
      <c r="H25" t="s">
        <v>2087</v>
      </c>
    </row>
    <row r="26" spans="1:8">
      <c r="F26" s="444" t="s">
        <v>2041</v>
      </c>
      <c r="H26" t="s">
        <v>2088</v>
      </c>
    </row>
    <row r="27" spans="1:8">
      <c r="F27" s="444" t="s">
        <v>2042</v>
      </c>
      <c r="H27" t="s">
        <v>2089</v>
      </c>
    </row>
    <row r="28" spans="1:8">
      <c r="F28" s="444" t="s">
        <v>2116</v>
      </c>
      <c r="H28" t="s">
        <v>2090</v>
      </c>
    </row>
    <row r="29" spans="1:8">
      <c r="F29" s="444" t="s">
        <v>2043</v>
      </c>
      <c r="H29" t="s">
        <v>2091</v>
      </c>
    </row>
    <row r="30" spans="1:8">
      <c r="F30" s="444" t="s">
        <v>2044</v>
      </c>
      <c r="H30" t="s">
        <v>2092</v>
      </c>
    </row>
    <row r="31" spans="1:8">
      <c r="F31" s="444" t="s">
        <v>2045</v>
      </c>
      <c r="H31" t="s">
        <v>2093</v>
      </c>
    </row>
    <row r="32" spans="1:8">
      <c r="F32" s="444" t="s">
        <v>2129</v>
      </c>
      <c r="H32" t="s">
        <v>2094</v>
      </c>
    </row>
    <row r="33" spans="6:8">
      <c r="F33" s="444" t="s">
        <v>2130</v>
      </c>
      <c r="H33" t="s">
        <v>2095</v>
      </c>
    </row>
    <row r="34" spans="6:8">
      <c r="F34" s="560" t="s">
        <v>2131</v>
      </c>
      <c r="H34" t="s">
        <v>2096</v>
      </c>
    </row>
    <row r="35" spans="6:8">
      <c r="F35" s="560" t="s">
        <v>2132</v>
      </c>
      <c r="H35" t="s">
        <v>2097</v>
      </c>
    </row>
    <row r="36" spans="6:8">
      <c r="F36" s="444" t="s">
        <v>2133</v>
      </c>
      <c r="H36" t="s">
        <v>2098</v>
      </c>
    </row>
    <row r="37" spans="6:8">
      <c r="H37" t="s">
        <v>2099</v>
      </c>
    </row>
    <row r="38" spans="6:8">
      <c r="H38" t="s">
        <v>2100</v>
      </c>
    </row>
    <row r="39" spans="6:8">
      <c r="H39" t="s">
        <v>2101</v>
      </c>
    </row>
    <row r="40" spans="6:8">
      <c r="H40" t="s">
        <v>2102</v>
      </c>
    </row>
    <row r="41" spans="6:8">
      <c r="H41" t="s">
        <v>2103</v>
      </c>
    </row>
    <row r="42" spans="6:8">
      <c r="H42" t="s">
        <v>2104</v>
      </c>
    </row>
    <row r="43" spans="6:8">
      <c r="H43" t="s">
        <v>2105</v>
      </c>
    </row>
    <row r="44" spans="6:8">
      <c r="H44" t="s">
        <v>2106</v>
      </c>
    </row>
    <row r="45" spans="6:8">
      <c r="H45" t="s">
        <v>2107</v>
      </c>
    </row>
    <row r="46" spans="6:8">
      <c r="H46" t="s">
        <v>2108</v>
      </c>
    </row>
    <row r="47" spans="6:8">
      <c r="H47" t="s">
        <v>2109</v>
      </c>
    </row>
    <row r="48" spans="6:8">
      <c r="H48" t="s">
        <v>2110</v>
      </c>
    </row>
    <row r="49" spans="8:8">
      <c r="H49" t="s">
        <v>2111</v>
      </c>
    </row>
    <row r="50" spans="8:8">
      <c r="H50" t="s">
        <v>2112</v>
      </c>
    </row>
    <row r="51" spans="8:8">
      <c r="H51" t="s">
        <v>2113</v>
      </c>
    </row>
    <row r="52" spans="8:8">
      <c r="H52" t="s">
        <v>2114</v>
      </c>
    </row>
  </sheetData>
  <sheetProtection selectLockedCells="1"/>
  <mergeCells count="3">
    <mergeCell ref="A2:D2"/>
    <mergeCell ref="A13:A14"/>
    <mergeCell ref="B12:D12"/>
  </mergeCells>
  <phoneticPr fontId="1" type="noConversion"/>
  <dataValidations count="19">
    <dataValidation type="list" allowBlank="1" showInputMessage="1" showErrorMessage="1" sqref="B4">
      <formula1>"请选择,内资企业,外商投资企业,外国企业,其他"</formula1>
    </dataValidation>
    <dataValidation type="list" showInputMessage="1" showErrorMessage="1" sqref="D4">
      <formula1>"请选择,国有企业,集体企业,有限责任公司,私营企业,股份有限公司,股份合作企业,联营企业,个人独资合伙企业,其他经济"</formula1>
    </dataValidation>
    <dataValidation type="list" showInputMessage="1" showErrorMessage="1" sqref="B5">
      <formula1>"请选择,工业,商业,邮电通信,交通运输,建筑安装,饮食娱乐服务,金融企业,保险企业,证券企业,电影新闻出版业,“三来一补”企业,房地产开发企业,事业单位社团组织,其他"</formula1>
    </dataValidation>
    <dataValidation type="list" showInputMessage="1" showErrorMessage="1" sqref="D5">
      <formula1>"请选择,非上市企业,上市企业"</formula1>
    </dataValidation>
    <dataValidation type="list" allowBlank="1" showInputMessage="1" showErrorMessage="1" sqref="B7">
      <formula1>"请选择,人民币,港元,美元,日元,澳大利亚元,德国马克,加拿大元,欧元,新加坡元,英磅,瑞士法郎,澳门帕塔卡"</formula1>
    </dataValidation>
    <dataValidation type="list" allowBlank="1" showInputMessage="1" showErrorMessage="1" sqref="B8">
      <formula1>"请选择,广州市越秀区,广州市海珠区,广州市荔湾区,广州市天河区,广州市白云区,广州市黄埔区,广州市番禺区,广州市花都区,增城市,从化市,广州市萝岗区,广州市南沙区,非广州市"</formula1>
    </dataValidation>
    <dataValidation type="list" allowBlank="1" showInputMessage="1" showErrorMessage="1" sqref="B15">
      <formula1>"请选择,本报告收费,在其它报告一起收费"</formula1>
    </dataValidation>
    <dataValidation type="list" allowBlank="1" showInputMessage="1" showErrorMessage="1" sqref="B16">
      <formula1>"请选择,计件收费,计时收费"</formula1>
    </dataValidation>
    <dataValidation type="date" allowBlank="1" showInputMessage="1" showErrorMessage="1" errorTitle="格式不正确" error="输入日期格式不正确" promptTitle="输入日期格式不正确" sqref="D9">
      <formula1>1</formula1>
      <formula2>401768</formula2>
    </dataValidation>
    <dataValidation type="date" allowBlank="1" showInputMessage="1" showErrorMessage="1" errorTitle="报告日期格式不正确" error="请输入日期范围在1900-01-01值9999-12-31之间的日期值。" sqref="D11">
      <formula1>1</formula1>
      <formula2>2958465</formula2>
    </dataValidation>
    <dataValidation allowBlank="1" showInputMessage="1" showErrorMessage="1" prompt="请输入第一位注师姓名！" sqref="B13"/>
    <dataValidation allowBlank="1" showInputMessage="1" showErrorMessage="1" prompt="请输入第二位注师姓名！" sqref="C13"/>
    <dataValidation allowBlank="1" showInputMessage="1" showErrorMessage="1" prompt="请输入第三位注师姓名！" sqref="D13"/>
    <dataValidation allowBlank="1" showInputMessage="1" showErrorMessage="1" prompt="请输入第四位注师姓名！" sqref="B14"/>
    <dataValidation allowBlank="1" showInputMessage="1" showErrorMessage="1" prompt="请输入第五位注师姓名！" sqref="C14"/>
    <dataValidation type="list" allowBlank="1" showInputMessage="1" showErrorMessage="1" sqref="B1">
      <formula1>$F$1:$F$36</formula1>
    </dataValidation>
    <dataValidation type="decimal" operator="greaterThanOrEqual" allowBlank="1" showInputMessage="1" showErrorMessage="1" error="注册资本必须大于0！" sqref="D7">
      <formula1>0</formula1>
    </dataValidation>
    <dataValidation type="decimal" operator="greaterThan" allowBlank="1" showInputMessage="1" showErrorMessage="1" error="约定业务费必须大于0！" sqref="D16">
      <formula1>0</formula1>
    </dataValidation>
    <dataValidation type="list" allowBlank="1" showInputMessage="1" showErrorMessage="1" errorTitle="年度范围不正确" error="输入的年份有误！" sqref="D10">
      <formula1>$H$1:$H$52</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D9"/>
  <sheetViews>
    <sheetView workbookViewId="0">
      <selection activeCell="D25" sqref="D25"/>
    </sheetView>
  </sheetViews>
  <sheetFormatPr defaultRowHeight="14"/>
  <cols>
    <col min="1" max="1" width="11.6328125" customWidth="1"/>
    <col min="2" max="2" width="20.26953125" customWidth="1"/>
    <col min="3" max="4" width="20.6328125" customWidth="1"/>
  </cols>
  <sheetData>
    <row r="1" spans="1:4" ht="37.5" customHeight="1">
      <c r="A1" s="654" t="s">
        <v>2144</v>
      </c>
      <c r="B1" s="655"/>
      <c r="C1" s="655"/>
      <c r="D1" s="655"/>
    </row>
    <row r="2" spans="1:4" ht="15" customHeight="1">
      <c r="A2" s="586" t="s">
        <v>2134</v>
      </c>
      <c r="B2" s="586" t="s">
        <v>2135</v>
      </c>
      <c r="C2" s="586" t="s">
        <v>2136</v>
      </c>
      <c r="D2" s="586" t="s">
        <v>2137</v>
      </c>
    </row>
    <row r="3" spans="1:4">
      <c r="A3" s="585">
        <v>1</v>
      </c>
      <c r="B3" s="491" t="s">
        <v>2138</v>
      </c>
      <c r="C3" s="491"/>
      <c r="D3" s="491"/>
    </row>
    <row r="4" spans="1:4">
      <c r="A4" s="585">
        <v>2</v>
      </c>
      <c r="B4" s="491" t="s">
        <v>2139</v>
      </c>
      <c r="C4" s="491"/>
      <c r="D4" s="491"/>
    </row>
    <row r="5" spans="1:4">
      <c r="A5" s="585">
        <v>3</v>
      </c>
      <c r="B5" s="491" t="s">
        <v>2145</v>
      </c>
      <c r="C5" s="491"/>
      <c r="D5" s="491"/>
    </row>
    <row r="6" spans="1:4">
      <c r="A6" s="585">
        <v>4</v>
      </c>
      <c r="B6" s="491" t="s">
        <v>2140</v>
      </c>
      <c r="C6" s="491"/>
      <c r="D6" s="491"/>
    </row>
    <row r="7" spans="1:4">
      <c r="A7" s="585">
        <v>5</v>
      </c>
      <c r="B7" s="491" t="s">
        <v>2141</v>
      </c>
      <c r="C7" s="491"/>
      <c r="D7" s="491"/>
    </row>
    <row r="8" spans="1:4">
      <c r="A8" s="585">
        <v>6</v>
      </c>
      <c r="B8" s="491" t="s">
        <v>2142</v>
      </c>
      <c r="C8" s="491"/>
      <c r="D8" s="491"/>
    </row>
    <row r="9" spans="1:4">
      <c r="A9" s="656" t="s">
        <v>2143</v>
      </c>
      <c r="B9" s="656"/>
      <c r="C9" s="656"/>
      <c r="D9" s="656"/>
    </row>
  </sheetData>
  <mergeCells count="2">
    <mergeCell ref="A1:D1"/>
    <mergeCell ref="A9:D9"/>
  </mergeCells>
  <phoneticPr fontId="1" type="noConversion"/>
  <dataValidations count="2">
    <dataValidation type="decimal" operator="greaterThan" allowBlank="1" showInputMessage="1" showErrorMessage="1" error="合计工时必须大于0！" sqref="D3:D8">
      <formula1>0</formula1>
    </dataValidation>
    <dataValidation type="whole" operator="greaterThan" allowBlank="1" showInputMessage="1" showErrorMessage="1" error="人数必须是正整数！" sqref="C3:C8">
      <formula1>0</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2"/>
  <sheetViews>
    <sheetView workbookViewId="0">
      <selection activeCell="A41" sqref="A41"/>
    </sheetView>
  </sheetViews>
  <sheetFormatPr defaultRowHeight="14"/>
  <cols>
    <col min="1" max="1" width="24.7265625" customWidth="1"/>
    <col min="2" max="2" width="74.90625" customWidth="1"/>
    <col min="18" max="18" width="24.08984375" customWidth="1"/>
  </cols>
  <sheetData>
    <row r="2" spans="1:2" ht="63.5">
      <c r="A2" s="389" t="s">
        <v>1476</v>
      </c>
      <c r="B2" s="388" t="s">
        <v>1793</v>
      </c>
    </row>
  </sheetData>
  <phoneticPr fontId="1" type="noConversion"/>
  <dataValidations count="1">
    <dataValidation type="list" allowBlank="1" showInputMessage="1" showErrorMessage="1" sqref="B2">
      <formula1>"1.企业会计准则,2.会计制度,3.小企业,4.事业单位,5.医院,6.基层医疗卫生机构,7.科学事业单位,8.高校,9.中小学,10.彩票机构,11.民间非营利组织,12.工会,13.新型农村合作医疗基金,14.村集体经济组织,15.农民专业合作社"</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D7"/>
  <sheetViews>
    <sheetView workbookViewId="0">
      <selection activeCell="B2" sqref="B2"/>
    </sheetView>
  </sheetViews>
  <sheetFormatPr defaultColWidth="9" defaultRowHeight="14.25" customHeight="1"/>
  <cols>
    <col min="1" max="1" width="23.6328125" style="106" customWidth="1"/>
    <col min="2" max="3" width="25" style="106" customWidth="1"/>
    <col min="4" max="4" width="33.453125" style="106" customWidth="1"/>
    <col min="5" max="16384" width="9" style="106"/>
  </cols>
  <sheetData>
    <row r="1" spans="1:4" ht="14.25" customHeight="1">
      <c r="A1" s="657" t="s">
        <v>1678</v>
      </c>
      <c r="B1" s="657"/>
      <c r="C1" s="657"/>
      <c r="D1" s="658"/>
    </row>
    <row r="2" spans="1:4" ht="14.25" customHeight="1">
      <c r="A2" s="445" t="s">
        <v>1998</v>
      </c>
      <c r="B2" s="500" t="s">
        <v>2167</v>
      </c>
      <c r="C2" s="381" t="s">
        <v>1915</v>
      </c>
      <c r="D2" s="559" t="s">
        <v>2168</v>
      </c>
    </row>
    <row r="3" spans="1:4" ht="14.25" customHeight="1">
      <c r="A3" s="445" t="s">
        <v>1919</v>
      </c>
      <c r="B3" s="500">
        <v>2018</v>
      </c>
      <c r="C3" s="382" t="s">
        <v>1920</v>
      </c>
      <c r="D3" s="559" t="s">
        <v>1682</v>
      </c>
    </row>
    <row r="4" spans="1:4" ht="14.25" customHeight="1">
      <c r="A4" s="446" t="s">
        <v>1921</v>
      </c>
      <c r="B4" s="559" t="s">
        <v>2169</v>
      </c>
      <c r="C4" s="382" t="s">
        <v>1922</v>
      </c>
      <c r="D4" s="559" t="s">
        <v>2170</v>
      </c>
    </row>
    <row r="5" spans="1:4" ht="14.25" customHeight="1">
      <c r="A5" s="446" t="s">
        <v>1999</v>
      </c>
      <c r="B5" s="559"/>
      <c r="C5" s="382" t="s">
        <v>1917</v>
      </c>
      <c r="D5" s="559"/>
    </row>
    <row r="6" spans="1:4" ht="14.25" customHeight="1">
      <c r="A6" s="446" t="s">
        <v>1913</v>
      </c>
      <c r="B6" s="559"/>
      <c r="C6" s="386" t="s">
        <v>1738</v>
      </c>
      <c r="D6" s="559" t="s">
        <v>2171</v>
      </c>
    </row>
    <row r="7" spans="1:4" ht="14.25" customHeight="1">
      <c r="A7" s="447" t="s">
        <v>2000</v>
      </c>
      <c r="B7" s="559"/>
      <c r="C7" s="381" t="s">
        <v>1739</v>
      </c>
      <c r="D7" s="559"/>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1"/>
  <sheetViews>
    <sheetView zoomScale="70" zoomScaleNormal="70" workbookViewId="0">
      <selection activeCell="C8" sqref="C8"/>
    </sheetView>
  </sheetViews>
  <sheetFormatPr defaultColWidth="9" defaultRowHeight="14"/>
  <cols>
    <col min="1" max="1" width="31.36328125" style="49" customWidth="1"/>
    <col min="2" max="2" width="7.453125" style="49" bestFit="1" customWidth="1"/>
    <col min="3" max="4" width="20.6328125" style="372" customWidth="1"/>
    <col min="5" max="5" width="29" style="49" customWidth="1"/>
    <col min="6" max="6" width="7.453125" style="53" bestFit="1" customWidth="1"/>
    <col min="7" max="8" width="20.6328125" style="372" customWidth="1"/>
    <col min="9" max="9" width="9" style="49" bestFit="1" customWidth="1"/>
    <col min="10" max="16384" width="9" style="49"/>
  </cols>
  <sheetData>
    <row r="1" spans="1:8" ht="29.15" customHeight="1">
      <c r="A1" s="659" t="s">
        <v>1661</v>
      </c>
      <c r="B1" s="659"/>
      <c r="C1" s="659"/>
      <c r="D1" s="659"/>
      <c r="E1" s="659"/>
      <c r="F1" s="659"/>
      <c r="G1" s="659"/>
      <c r="H1" s="659"/>
    </row>
    <row r="2" spans="1:8" s="276" customFormat="1" ht="14.25" customHeight="1">
      <c r="A2" s="272"/>
      <c r="B2" s="273" t="s">
        <v>0</v>
      </c>
      <c r="C2" s="272"/>
      <c r="D2" s="272"/>
      <c r="E2" s="272"/>
      <c r="F2" s="274"/>
      <c r="G2" s="272"/>
      <c r="H2" s="272"/>
    </row>
    <row r="3" spans="1:8" s="276" customFormat="1" ht="14.25" customHeight="1" thickBot="1">
      <c r="A3" s="529" t="str">
        <f>"编制单位："&amp;基础资料!D3</f>
        <v>编制单位：</v>
      </c>
      <c r="B3" s="263" t="s">
        <v>0</v>
      </c>
      <c r="C3" s="370"/>
      <c r="D3" s="660"/>
      <c r="E3" s="660"/>
      <c r="F3" s="264"/>
      <c r="G3" s="370"/>
      <c r="H3" s="260" t="s">
        <v>227</v>
      </c>
    </row>
    <row r="4" spans="1:8" s="278" customFormat="1" ht="14.25" customHeight="1">
      <c r="A4" s="30" t="s">
        <v>2</v>
      </c>
      <c r="B4" s="277" t="s">
        <v>3</v>
      </c>
      <c r="C4" s="31" t="s">
        <v>283</v>
      </c>
      <c r="D4" s="32" t="s">
        <v>1786</v>
      </c>
      <c r="E4" s="31" t="s">
        <v>2</v>
      </c>
      <c r="F4" s="277" t="s">
        <v>3</v>
      </c>
      <c r="G4" s="32" t="s">
        <v>283</v>
      </c>
      <c r="H4" s="32" t="s">
        <v>284</v>
      </c>
    </row>
    <row r="5" spans="1:8" s="278" customFormat="1" ht="14.25" customHeight="1">
      <c r="A5" s="279" t="s">
        <v>285</v>
      </c>
      <c r="B5" s="33" t="s">
        <v>4</v>
      </c>
      <c r="C5" s="448" t="s">
        <v>2160</v>
      </c>
      <c r="D5" s="448" t="s">
        <v>5</v>
      </c>
      <c r="E5" s="45" t="s">
        <v>6</v>
      </c>
      <c r="F5" s="33" t="s">
        <v>286</v>
      </c>
      <c r="G5" s="448" t="s">
        <v>2001</v>
      </c>
      <c r="H5" s="448" t="s">
        <v>5</v>
      </c>
    </row>
    <row r="6" spans="1:8" s="278" customFormat="1" ht="14.25" customHeight="1">
      <c r="A6" s="36" t="s">
        <v>7</v>
      </c>
      <c r="B6" s="33" t="s">
        <v>8</v>
      </c>
      <c r="C6" s="449"/>
      <c r="D6" s="449"/>
      <c r="E6" s="38" t="s">
        <v>9</v>
      </c>
      <c r="F6" s="33" t="s">
        <v>10</v>
      </c>
      <c r="G6" s="449"/>
      <c r="H6" s="449"/>
    </row>
    <row r="7" spans="1:8" s="278" customFormat="1" ht="14.25" customHeight="1">
      <c r="A7" s="44" t="s">
        <v>287</v>
      </c>
      <c r="B7" s="33" t="s">
        <v>11</v>
      </c>
      <c r="C7" s="449"/>
      <c r="D7" s="449"/>
      <c r="E7" s="35" t="s">
        <v>288</v>
      </c>
      <c r="F7" s="33" t="s">
        <v>12</v>
      </c>
      <c r="G7" s="449"/>
      <c r="H7" s="449"/>
    </row>
    <row r="8" spans="1:8" s="278" customFormat="1" ht="14.25" customHeight="1">
      <c r="A8" s="44" t="s">
        <v>289</v>
      </c>
      <c r="B8" s="33" t="s">
        <v>13</v>
      </c>
      <c r="C8" s="449"/>
      <c r="D8" s="449"/>
      <c r="E8" s="35" t="s">
        <v>290</v>
      </c>
      <c r="F8" s="33" t="s">
        <v>14</v>
      </c>
      <c r="G8" s="449"/>
      <c r="H8" s="449"/>
    </row>
    <row r="9" spans="1:8" s="278" customFormat="1" ht="24" customHeight="1">
      <c r="A9" s="280" t="s">
        <v>1519</v>
      </c>
      <c r="B9" s="33" t="s">
        <v>15</v>
      </c>
      <c r="C9" s="449"/>
      <c r="D9" s="449"/>
      <c r="E9" s="35" t="s">
        <v>291</v>
      </c>
      <c r="F9" s="33" t="s">
        <v>16</v>
      </c>
      <c r="G9" s="449"/>
      <c r="H9" s="449"/>
    </row>
    <row r="10" spans="1:8" s="278" customFormat="1" ht="28.5" customHeight="1">
      <c r="A10" s="36" t="s">
        <v>292</v>
      </c>
      <c r="B10" s="33" t="s">
        <v>17</v>
      </c>
      <c r="C10" s="449"/>
      <c r="D10" s="449"/>
      <c r="E10" s="280" t="s">
        <v>1520</v>
      </c>
      <c r="F10" s="33" t="s">
        <v>18</v>
      </c>
      <c r="G10" s="449"/>
      <c r="H10" s="449"/>
    </row>
    <row r="11" spans="1:8" s="278" customFormat="1" ht="14.25" customHeight="1">
      <c r="A11" s="36" t="s">
        <v>293</v>
      </c>
      <c r="B11" s="33" t="s">
        <v>19</v>
      </c>
      <c r="C11" s="449"/>
      <c r="D11" s="449"/>
      <c r="E11" s="38" t="s">
        <v>20</v>
      </c>
      <c r="F11" s="33" t="s">
        <v>21</v>
      </c>
      <c r="G11" s="449"/>
      <c r="H11" s="449"/>
    </row>
    <row r="12" spans="1:8" s="278" customFormat="1" ht="14.25" customHeight="1">
      <c r="A12" s="36" t="s">
        <v>22</v>
      </c>
      <c r="B12" s="33" t="s">
        <v>23</v>
      </c>
      <c r="C12" s="449"/>
      <c r="D12" s="449"/>
      <c r="E12" s="38" t="s">
        <v>294</v>
      </c>
      <c r="F12" s="33" t="s">
        <v>24</v>
      </c>
      <c r="G12" s="449"/>
      <c r="H12" s="449"/>
    </row>
    <row r="13" spans="1:8" s="278" customFormat="1" ht="14.25" customHeight="1">
      <c r="A13" s="44" t="s">
        <v>295</v>
      </c>
      <c r="B13" s="33" t="s">
        <v>25</v>
      </c>
      <c r="C13" s="449"/>
      <c r="D13" s="449"/>
      <c r="E13" s="38" t="s">
        <v>26</v>
      </c>
      <c r="F13" s="33" t="s">
        <v>27</v>
      </c>
      <c r="G13" s="449"/>
      <c r="H13" s="449"/>
    </row>
    <row r="14" spans="1:8" s="278" customFormat="1" ht="14.25" customHeight="1">
      <c r="A14" s="44" t="s">
        <v>296</v>
      </c>
      <c r="B14" s="33" t="s">
        <v>28</v>
      </c>
      <c r="C14" s="449"/>
      <c r="D14" s="449"/>
      <c r="E14" s="35" t="s">
        <v>297</v>
      </c>
      <c r="F14" s="33" t="s">
        <v>29</v>
      </c>
      <c r="G14" s="449"/>
      <c r="H14" s="449"/>
    </row>
    <row r="15" spans="1:8" s="278" customFormat="1" ht="14.25" customHeight="1">
      <c r="A15" s="44" t="s">
        <v>298</v>
      </c>
      <c r="B15" s="33" t="s">
        <v>30</v>
      </c>
      <c r="C15" s="449"/>
      <c r="D15" s="449"/>
      <c r="E15" s="35" t="s">
        <v>299</v>
      </c>
      <c r="F15" s="33" t="s">
        <v>31</v>
      </c>
      <c r="G15" s="449"/>
      <c r="H15" s="449"/>
    </row>
    <row r="16" spans="1:8" s="278" customFormat="1" ht="14.25" customHeight="1">
      <c r="A16" s="36" t="s">
        <v>32</v>
      </c>
      <c r="B16" s="33" t="s">
        <v>33</v>
      </c>
      <c r="C16" s="449"/>
      <c r="D16" s="449"/>
      <c r="E16" s="38" t="s">
        <v>300</v>
      </c>
      <c r="F16" s="33" t="s">
        <v>34</v>
      </c>
      <c r="G16" s="449"/>
      <c r="H16" s="449"/>
    </row>
    <row r="17" spans="1:8" s="278" customFormat="1" ht="14.25" customHeight="1">
      <c r="A17" s="36" t="s">
        <v>301</v>
      </c>
      <c r="B17" s="33" t="s">
        <v>35</v>
      </c>
      <c r="C17" s="449"/>
      <c r="D17" s="449"/>
      <c r="E17" s="35" t="s">
        <v>302</v>
      </c>
      <c r="F17" s="33" t="s">
        <v>36</v>
      </c>
      <c r="G17" s="449"/>
      <c r="H17" s="449"/>
    </row>
    <row r="18" spans="1:8" s="278" customFormat="1" ht="14.25" customHeight="1">
      <c r="A18" s="36" t="s">
        <v>37</v>
      </c>
      <c r="B18" s="33" t="s">
        <v>38</v>
      </c>
      <c r="C18" s="449"/>
      <c r="D18" s="449"/>
      <c r="E18" s="35" t="s">
        <v>303</v>
      </c>
      <c r="F18" s="33" t="s">
        <v>39</v>
      </c>
      <c r="G18" s="449"/>
      <c r="H18" s="449"/>
    </row>
    <row r="19" spans="1:8" s="278" customFormat="1" ht="14.25" customHeight="1">
      <c r="A19" s="44" t="s">
        <v>304</v>
      </c>
      <c r="B19" s="33" t="s">
        <v>40</v>
      </c>
      <c r="C19" s="449"/>
      <c r="D19" s="449"/>
      <c r="E19" s="37" t="s">
        <v>1676</v>
      </c>
      <c r="F19" s="33" t="s">
        <v>41</v>
      </c>
      <c r="G19" s="449"/>
      <c r="H19" s="449"/>
    </row>
    <row r="20" spans="1:8" s="278" customFormat="1" ht="14.25" customHeight="1">
      <c r="A20" s="36" t="s">
        <v>42</v>
      </c>
      <c r="B20" s="33" t="s">
        <v>43</v>
      </c>
      <c r="C20" s="449"/>
      <c r="D20" s="449"/>
      <c r="E20" s="281" t="s">
        <v>305</v>
      </c>
      <c r="F20" s="33" t="s">
        <v>44</v>
      </c>
      <c r="G20" s="449"/>
      <c r="H20" s="449"/>
    </row>
    <row r="21" spans="1:8" s="278" customFormat="1" ht="14.25" customHeight="1">
      <c r="A21" s="282" t="s">
        <v>306</v>
      </c>
      <c r="B21" s="33" t="s">
        <v>45</v>
      </c>
      <c r="C21" s="449"/>
      <c r="D21" s="449"/>
      <c r="E21" s="281" t="s">
        <v>307</v>
      </c>
      <c r="F21" s="33" t="s">
        <v>46</v>
      </c>
      <c r="G21" s="449"/>
      <c r="H21" s="449"/>
    </row>
    <row r="22" spans="1:8" s="278" customFormat="1" ht="14.25" customHeight="1">
      <c r="A22" s="283" t="s">
        <v>308</v>
      </c>
      <c r="B22" s="33" t="s">
        <v>47</v>
      </c>
      <c r="C22" s="449"/>
      <c r="D22" s="449"/>
      <c r="E22" s="38" t="s">
        <v>309</v>
      </c>
      <c r="F22" s="33" t="s">
        <v>48</v>
      </c>
      <c r="G22" s="449"/>
      <c r="H22" s="449"/>
    </row>
    <row r="23" spans="1:8" s="278" customFormat="1" ht="14.25" customHeight="1">
      <c r="A23" s="280" t="s">
        <v>310</v>
      </c>
      <c r="B23" s="33" t="s">
        <v>49</v>
      </c>
      <c r="C23" s="449"/>
      <c r="D23" s="449"/>
      <c r="E23" s="38" t="s">
        <v>311</v>
      </c>
      <c r="F23" s="33" t="s">
        <v>50</v>
      </c>
      <c r="G23" s="449"/>
      <c r="H23" s="449"/>
    </row>
    <row r="24" spans="1:8" s="278" customFormat="1" ht="14.25" customHeight="1">
      <c r="A24" s="284" t="s">
        <v>312</v>
      </c>
      <c r="B24" s="33" t="s">
        <v>51</v>
      </c>
      <c r="C24" s="449"/>
      <c r="D24" s="449"/>
      <c r="E24" s="38" t="s">
        <v>52</v>
      </c>
      <c r="F24" s="33" t="s">
        <v>53</v>
      </c>
      <c r="G24" s="449"/>
      <c r="H24" s="449"/>
    </row>
    <row r="25" spans="1:8" s="278" customFormat="1" ht="14.25" customHeight="1">
      <c r="A25" s="36" t="s">
        <v>54</v>
      </c>
      <c r="B25" s="33" t="s">
        <v>55</v>
      </c>
      <c r="C25" s="449"/>
      <c r="D25" s="449"/>
      <c r="E25" s="35" t="s">
        <v>313</v>
      </c>
      <c r="F25" s="33" t="s">
        <v>56</v>
      </c>
      <c r="G25" s="449"/>
      <c r="H25" s="449"/>
    </row>
    <row r="26" spans="1:8" s="278" customFormat="1" ht="14.25" customHeight="1">
      <c r="A26" s="43" t="s">
        <v>314</v>
      </c>
      <c r="B26" s="33" t="s">
        <v>57</v>
      </c>
      <c r="C26" s="449">
        <f>SUM(C6:C20)+C23+C24+C25</f>
        <v>0</v>
      </c>
      <c r="D26" s="449">
        <f>SUM(D6:D20)+D23+D24+D25</f>
        <v>0</v>
      </c>
      <c r="E26" s="35" t="s">
        <v>315</v>
      </c>
      <c r="F26" s="33" t="s">
        <v>58</v>
      </c>
      <c r="G26" s="449"/>
      <c r="H26" s="449"/>
    </row>
    <row r="27" spans="1:8" s="278" customFormat="1" ht="14.25" customHeight="1">
      <c r="A27" s="279" t="s">
        <v>316</v>
      </c>
      <c r="B27" s="33" t="s">
        <v>59</v>
      </c>
      <c r="C27" s="449"/>
      <c r="D27" s="449"/>
      <c r="E27" s="35" t="s">
        <v>317</v>
      </c>
      <c r="F27" s="33" t="s">
        <v>60</v>
      </c>
      <c r="G27" s="449"/>
      <c r="H27" s="449"/>
    </row>
    <row r="28" spans="1:8" s="278" customFormat="1" ht="14.25" customHeight="1">
      <c r="A28" s="44" t="s">
        <v>318</v>
      </c>
      <c r="B28" s="33" t="s">
        <v>61</v>
      </c>
      <c r="C28" s="449"/>
      <c r="D28" s="449"/>
      <c r="E28" s="35" t="s">
        <v>319</v>
      </c>
      <c r="F28" s="33" t="s">
        <v>62</v>
      </c>
      <c r="G28" s="449"/>
      <c r="H28" s="449"/>
    </row>
    <row r="29" spans="1:8" s="278" customFormat="1" ht="14.25" customHeight="1">
      <c r="A29" s="44" t="s">
        <v>320</v>
      </c>
      <c r="B29" s="33" t="s">
        <v>63</v>
      </c>
      <c r="C29" s="449"/>
      <c r="D29" s="449"/>
      <c r="E29" s="280" t="s">
        <v>321</v>
      </c>
      <c r="F29" s="33" t="s">
        <v>64</v>
      </c>
      <c r="G29" s="449"/>
      <c r="H29" s="449"/>
    </row>
    <row r="30" spans="1:8" s="278" customFormat="1" ht="14.25" customHeight="1">
      <c r="A30" s="44" t="s">
        <v>322</v>
      </c>
      <c r="B30" s="33" t="s">
        <v>65</v>
      </c>
      <c r="C30" s="449"/>
      <c r="D30" s="449"/>
      <c r="E30" s="38" t="s">
        <v>323</v>
      </c>
      <c r="F30" s="33" t="s">
        <v>66</v>
      </c>
      <c r="G30" s="449"/>
      <c r="H30" s="449"/>
    </row>
    <row r="31" spans="1:8" s="278" customFormat="1" ht="14.25" customHeight="1">
      <c r="A31" s="44" t="s">
        <v>324</v>
      </c>
      <c r="B31" s="33" t="s">
        <v>67</v>
      </c>
      <c r="C31" s="449"/>
      <c r="D31" s="449"/>
      <c r="E31" s="38" t="s">
        <v>68</v>
      </c>
      <c r="F31" s="33" t="s">
        <v>69</v>
      </c>
      <c r="G31" s="449"/>
      <c r="H31" s="449"/>
    </row>
    <row r="32" spans="1:8" s="278" customFormat="1" ht="14.25" customHeight="1">
      <c r="A32" s="44" t="s">
        <v>325</v>
      </c>
      <c r="B32" s="33" t="s">
        <v>70</v>
      </c>
      <c r="C32" s="449"/>
      <c r="D32" s="449"/>
      <c r="E32" s="39" t="s">
        <v>71</v>
      </c>
      <c r="F32" s="33" t="s">
        <v>72</v>
      </c>
      <c r="G32" s="449">
        <f>SUM(G6:G16)+G20+SUM(G22:G31)</f>
        <v>0</v>
      </c>
      <c r="H32" s="449">
        <f>SUM(H6:H16)+H20+SUM(H22:H31)</f>
        <v>0</v>
      </c>
    </row>
    <row r="33" spans="1:8" s="278" customFormat="1" ht="14.25" customHeight="1">
      <c r="A33" s="44" t="s">
        <v>326</v>
      </c>
      <c r="B33" s="33" t="s">
        <v>73</v>
      </c>
      <c r="C33" s="449"/>
      <c r="D33" s="449"/>
      <c r="E33" s="45" t="s">
        <v>327</v>
      </c>
      <c r="F33" s="33" t="s">
        <v>74</v>
      </c>
      <c r="G33" s="449"/>
      <c r="H33" s="449"/>
    </row>
    <row r="34" spans="1:8" s="278" customFormat="1" ht="14.25" customHeight="1">
      <c r="A34" s="285" t="s">
        <v>328</v>
      </c>
      <c r="B34" s="33" t="s">
        <v>75</v>
      </c>
      <c r="C34" s="449"/>
      <c r="D34" s="449"/>
      <c r="E34" s="38" t="s">
        <v>329</v>
      </c>
      <c r="F34" s="33" t="s">
        <v>76</v>
      </c>
      <c r="G34" s="449"/>
      <c r="H34" s="449"/>
    </row>
    <row r="35" spans="1:8" s="278" customFormat="1" ht="14.25" customHeight="1">
      <c r="A35" s="285" t="s">
        <v>330</v>
      </c>
      <c r="B35" s="33" t="s">
        <v>77</v>
      </c>
      <c r="C35" s="449"/>
      <c r="D35" s="449"/>
      <c r="E35" s="38" t="s">
        <v>78</v>
      </c>
      <c r="F35" s="33" t="s">
        <v>79</v>
      </c>
      <c r="G35" s="449"/>
      <c r="H35" s="449"/>
    </row>
    <row r="36" spans="1:8" s="278" customFormat="1" ht="14.25" customHeight="1">
      <c r="A36" s="285" t="s">
        <v>331</v>
      </c>
      <c r="B36" s="33" t="s">
        <v>80</v>
      </c>
      <c r="C36" s="449">
        <f>C34-C35</f>
        <v>0</v>
      </c>
      <c r="D36" s="449">
        <f>D34-D35</f>
        <v>0</v>
      </c>
      <c r="E36" s="38" t="s">
        <v>81</v>
      </c>
      <c r="F36" s="33" t="s">
        <v>82</v>
      </c>
      <c r="G36" s="449"/>
      <c r="H36" s="449"/>
    </row>
    <row r="37" spans="1:8" s="278" customFormat="1" ht="14.25" customHeight="1">
      <c r="A37" s="285" t="s">
        <v>332</v>
      </c>
      <c r="B37" s="33" t="s">
        <v>83</v>
      </c>
      <c r="C37" s="449"/>
      <c r="D37" s="449"/>
      <c r="E37" s="38" t="s">
        <v>84</v>
      </c>
      <c r="F37" s="33" t="s">
        <v>85</v>
      </c>
      <c r="G37" s="449"/>
      <c r="H37" s="449"/>
    </row>
    <row r="38" spans="1:8" s="278" customFormat="1" ht="14.25" customHeight="1">
      <c r="A38" s="285" t="s">
        <v>333</v>
      </c>
      <c r="B38" s="33" t="s">
        <v>86</v>
      </c>
      <c r="C38" s="449">
        <f>C36-C37</f>
        <v>0</v>
      </c>
      <c r="D38" s="449">
        <f>D36-D37</f>
        <v>0</v>
      </c>
      <c r="E38" s="35" t="s">
        <v>87</v>
      </c>
      <c r="F38" s="33" t="s">
        <v>88</v>
      </c>
      <c r="G38" s="449"/>
      <c r="H38" s="449"/>
    </row>
    <row r="39" spans="1:8" s="278" customFormat="1" ht="14.25" customHeight="1">
      <c r="A39" s="36" t="s">
        <v>334</v>
      </c>
      <c r="B39" s="33" t="s">
        <v>89</v>
      </c>
      <c r="C39" s="449"/>
      <c r="D39" s="449"/>
      <c r="E39" s="38" t="s">
        <v>335</v>
      </c>
      <c r="F39" s="33" t="s">
        <v>90</v>
      </c>
      <c r="G39" s="449"/>
      <c r="H39" s="449"/>
    </row>
    <row r="40" spans="1:8" s="278" customFormat="1" ht="14.25" customHeight="1">
      <c r="A40" s="36" t="s">
        <v>336</v>
      </c>
      <c r="B40" s="33" t="s">
        <v>91</v>
      </c>
      <c r="C40" s="449"/>
      <c r="D40" s="449"/>
      <c r="E40" s="38" t="s">
        <v>92</v>
      </c>
      <c r="F40" s="33" t="s">
        <v>93</v>
      </c>
      <c r="G40" s="449"/>
      <c r="H40" s="449"/>
    </row>
    <row r="41" spans="1:8" s="278" customFormat="1" ht="14.25" customHeight="1">
      <c r="A41" s="36" t="s">
        <v>337</v>
      </c>
      <c r="B41" s="33" t="s">
        <v>94</v>
      </c>
      <c r="C41" s="449"/>
      <c r="D41" s="449"/>
      <c r="E41" s="282" t="s">
        <v>338</v>
      </c>
      <c r="F41" s="33" t="s">
        <v>95</v>
      </c>
      <c r="G41" s="449"/>
      <c r="H41" s="449"/>
    </row>
    <row r="42" spans="1:8" s="278" customFormat="1" ht="14.25" customHeight="1">
      <c r="A42" s="44" t="s">
        <v>339</v>
      </c>
      <c r="B42" s="33" t="s">
        <v>96</v>
      </c>
      <c r="C42" s="449"/>
      <c r="D42" s="449"/>
      <c r="E42" s="39" t="s">
        <v>97</v>
      </c>
      <c r="F42" s="33" t="s">
        <v>98</v>
      </c>
      <c r="G42" s="449">
        <f>SUM(G34:G40)</f>
        <v>0</v>
      </c>
      <c r="H42" s="449">
        <f>SUM(H34:H40)</f>
        <v>0</v>
      </c>
    </row>
    <row r="43" spans="1:8" s="278" customFormat="1" ht="14.25" customHeight="1">
      <c r="A43" s="44" t="s">
        <v>340</v>
      </c>
      <c r="B43" s="33" t="s">
        <v>99</v>
      </c>
      <c r="C43" s="449"/>
      <c r="D43" s="449"/>
      <c r="E43" s="39" t="s">
        <v>100</v>
      </c>
      <c r="F43" s="33" t="s">
        <v>101</v>
      </c>
      <c r="G43" s="449">
        <f>G32+G42</f>
        <v>0</v>
      </c>
      <c r="H43" s="449">
        <f>H32+H42</f>
        <v>0</v>
      </c>
    </row>
    <row r="44" spans="1:8" s="278" customFormat="1" ht="14.25" customHeight="1">
      <c r="A44" s="36" t="s">
        <v>341</v>
      </c>
      <c r="B44" s="33" t="s">
        <v>102</v>
      </c>
      <c r="C44" s="449"/>
      <c r="D44" s="449"/>
      <c r="E44" s="45" t="s">
        <v>103</v>
      </c>
      <c r="F44" s="33" t="s">
        <v>104</v>
      </c>
      <c r="G44" s="449"/>
      <c r="H44" s="449"/>
    </row>
    <row r="45" spans="1:8" s="278" customFormat="1" ht="14.25" customHeight="1">
      <c r="A45" s="44" t="s">
        <v>342</v>
      </c>
      <c r="B45" s="33" t="s">
        <v>105</v>
      </c>
      <c r="C45" s="449"/>
      <c r="D45" s="449"/>
      <c r="E45" s="38" t="s">
        <v>343</v>
      </c>
      <c r="F45" s="33" t="s">
        <v>106</v>
      </c>
      <c r="G45" s="449"/>
      <c r="H45" s="449"/>
    </row>
    <row r="46" spans="1:8" s="278" customFormat="1" ht="14.25" customHeight="1">
      <c r="A46" s="44" t="s">
        <v>344</v>
      </c>
      <c r="B46" s="33" t="s">
        <v>107</v>
      </c>
      <c r="C46" s="449"/>
      <c r="D46" s="449"/>
      <c r="E46" s="38" t="s">
        <v>108</v>
      </c>
      <c r="F46" s="33" t="s">
        <v>109</v>
      </c>
      <c r="G46" s="449"/>
      <c r="H46" s="449"/>
    </row>
    <row r="47" spans="1:8" s="278" customFormat="1" ht="14.25" customHeight="1">
      <c r="A47" s="36" t="s">
        <v>345</v>
      </c>
      <c r="B47" s="33" t="s">
        <v>110</v>
      </c>
      <c r="C47" s="449"/>
      <c r="D47" s="449"/>
      <c r="E47" s="38" t="s">
        <v>346</v>
      </c>
      <c r="F47" s="33" t="s">
        <v>111</v>
      </c>
      <c r="G47" s="449"/>
      <c r="H47" s="449"/>
    </row>
    <row r="48" spans="1:8" s="278" customFormat="1" ht="14.25" customHeight="1">
      <c r="A48" s="36" t="s">
        <v>347</v>
      </c>
      <c r="B48" s="33" t="s">
        <v>112</v>
      </c>
      <c r="C48" s="449"/>
      <c r="D48" s="449"/>
      <c r="E48" s="38" t="s">
        <v>113</v>
      </c>
      <c r="F48" s="33" t="s">
        <v>114</v>
      </c>
      <c r="G48" s="449"/>
      <c r="H48" s="449"/>
    </row>
    <row r="49" spans="1:8" s="278" customFormat="1" ht="14.25" customHeight="1">
      <c r="A49" s="36" t="s">
        <v>348</v>
      </c>
      <c r="B49" s="33" t="s">
        <v>115</v>
      </c>
      <c r="C49" s="449"/>
      <c r="D49" s="449"/>
      <c r="E49" s="38" t="s">
        <v>1677</v>
      </c>
      <c r="F49" s="33" t="s">
        <v>116</v>
      </c>
      <c r="G49" s="449"/>
      <c r="H49" s="449"/>
    </row>
    <row r="50" spans="1:8" s="278" customFormat="1" ht="14.25" customHeight="1">
      <c r="A50" s="282" t="s">
        <v>349</v>
      </c>
      <c r="B50" s="33" t="s">
        <v>117</v>
      </c>
      <c r="C50" s="449"/>
      <c r="D50" s="449"/>
      <c r="E50" s="367" t="s">
        <v>2125</v>
      </c>
      <c r="F50" s="33" t="s">
        <v>118</v>
      </c>
      <c r="G50" s="449"/>
      <c r="H50" s="449"/>
    </row>
    <row r="51" spans="1:8" s="278" customFormat="1" ht="14.25" customHeight="1">
      <c r="A51" s="286" t="s">
        <v>119</v>
      </c>
      <c r="B51" s="33" t="s">
        <v>120</v>
      </c>
      <c r="C51" s="449">
        <f>SUM(C28:C33)+SUM(C38:C49)</f>
        <v>0</v>
      </c>
      <c r="D51" s="449">
        <f>SUM(D28:D33)+SUM(D38:D49)</f>
        <v>0</v>
      </c>
      <c r="E51" s="38" t="s">
        <v>121</v>
      </c>
      <c r="F51" s="33" t="s">
        <v>122</v>
      </c>
      <c r="G51" s="449"/>
      <c r="H51" s="449"/>
    </row>
    <row r="52" spans="1:8" s="278" customFormat="1" ht="14.25" customHeight="1">
      <c r="A52" s="286"/>
      <c r="B52" s="33" t="s">
        <v>123</v>
      </c>
      <c r="C52" s="449"/>
      <c r="D52" s="449"/>
      <c r="E52" s="38" t="s">
        <v>124</v>
      </c>
      <c r="F52" s="33" t="s">
        <v>125</v>
      </c>
      <c r="G52" s="449"/>
      <c r="H52" s="449"/>
    </row>
    <row r="53" spans="1:8" s="278" customFormat="1" ht="14.25" customHeight="1">
      <c r="A53" s="286"/>
      <c r="B53" s="33" t="s">
        <v>126</v>
      </c>
      <c r="C53" s="449"/>
      <c r="D53" s="449"/>
      <c r="E53" s="35" t="s">
        <v>350</v>
      </c>
      <c r="F53" s="33" t="s">
        <v>127</v>
      </c>
      <c r="G53" s="449"/>
      <c r="H53" s="449"/>
    </row>
    <row r="54" spans="1:8" s="278" customFormat="1" ht="14.25" customHeight="1">
      <c r="A54" s="286"/>
      <c r="B54" s="33" t="s">
        <v>128</v>
      </c>
      <c r="C54" s="449"/>
      <c r="D54" s="449"/>
      <c r="E54" s="35" t="s">
        <v>351</v>
      </c>
      <c r="F54" s="33" t="s">
        <v>129</v>
      </c>
      <c r="G54" s="449">
        <f>G45-G53</f>
        <v>0</v>
      </c>
      <c r="H54" s="449">
        <f>H45-H53</f>
        <v>0</v>
      </c>
    </row>
    <row r="55" spans="1:8" s="278" customFormat="1" ht="14.25" customHeight="1">
      <c r="A55" s="286"/>
      <c r="B55" s="33" t="s">
        <v>130</v>
      </c>
      <c r="C55" s="449"/>
      <c r="D55" s="449"/>
      <c r="E55" s="38" t="s">
        <v>131</v>
      </c>
      <c r="F55" s="33" t="s">
        <v>132</v>
      </c>
      <c r="G55" s="449"/>
      <c r="H55" s="449"/>
    </row>
    <row r="56" spans="1:8" s="278" customFormat="1" ht="14.25" customHeight="1">
      <c r="A56" s="286"/>
      <c r="B56" s="33" t="s">
        <v>133</v>
      </c>
      <c r="C56" s="449"/>
      <c r="D56" s="449"/>
      <c r="E56" s="35" t="s">
        <v>134</v>
      </c>
      <c r="F56" s="33" t="s">
        <v>135</v>
      </c>
      <c r="G56" s="449"/>
      <c r="H56" s="449"/>
    </row>
    <row r="57" spans="1:8" s="278" customFormat="1" ht="14.25" customHeight="1">
      <c r="A57" s="286"/>
      <c r="B57" s="33" t="s">
        <v>136</v>
      </c>
      <c r="C57" s="449"/>
      <c r="D57" s="449"/>
      <c r="E57" s="35" t="s">
        <v>352</v>
      </c>
      <c r="F57" s="33" t="s">
        <v>137</v>
      </c>
      <c r="G57" s="449"/>
      <c r="H57" s="449"/>
    </row>
    <row r="58" spans="1:8" s="278" customFormat="1" ht="14.25" customHeight="1">
      <c r="A58" s="287"/>
      <c r="B58" s="33" t="s">
        <v>138</v>
      </c>
      <c r="C58" s="449"/>
      <c r="D58" s="449"/>
      <c r="E58" s="288" t="s">
        <v>353</v>
      </c>
      <c r="F58" s="33" t="s">
        <v>139</v>
      </c>
      <c r="G58" s="449"/>
      <c r="H58" s="449"/>
    </row>
    <row r="59" spans="1:8" s="278" customFormat="1" ht="14.25" customHeight="1">
      <c r="A59" s="287"/>
      <c r="B59" s="33" t="s">
        <v>140</v>
      </c>
      <c r="C59" s="449"/>
      <c r="D59" s="449"/>
      <c r="E59" s="38" t="s">
        <v>141</v>
      </c>
      <c r="F59" s="33" t="s">
        <v>142</v>
      </c>
      <c r="G59" s="449"/>
      <c r="H59" s="449"/>
    </row>
    <row r="60" spans="1:8" s="278" customFormat="1" ht="14.25" customHeight="1">
      <c r="A60" s="287"/>
      <c r="B60" s="33" t="s">
        <v>143</v>
      </c>
      <c r="C60" s="449"/>
      <c r="D60" s="449"/>
      <c r="E60" s="289" t="s">
        <v>354</v>
      </c>
      <c r="F60" s="33" t="s">
        <v>144</v>
      </c>
      <c r="G60" s="449"/>
      <c r="H60" s="449"/>
    </row>
    <row r="61" spans="1:8" s="278" customFormat="1" ht="14.25" customHeight="1">
      <c r="A61" s="287"/>
      <c r="B61" s="33" t="s">
        <v>145</v>
      </c>
      <c r="C61" s="449"/>
      <c r="D61" s="449"/>
      <c r="E61" s="289" t="s">
        <v>355</v>
      </c>
      <c r="F61" s="33" t="s">
        <v>146</v>
      </c>
      <c r="G61" s="449"/>
      <c r="H61" s="449"/>
    </row>
    <row r="62" spans="1:8" s="278" customFormat="1" ht="14.25" customHeight="1">
      <c r="A62" s="287"/>
      <c r="B62" s="33" t="s">
        <v>147</v>
      </c>
      <c r="C62" s="449"/>
      <c r="D62" s="449"/>
      <c r="E62" s="289" t="s">
        <v>356</v>
      </c>
      <c r="F62" s="33" t="s">
        <v>148</v>
      </c>
      <c r="G62" s="449"/>
      <c r="H62" s="449"/>
    </row>
    <row r="63" spans="1:8" s="278" customFormat="1" ht="14.25" customHeight="1">
      <c r="A63" s="287"/>
      <c r="B63" s="33" t="s">
        <v>149</v>
      </c>
      <c r="C63" s="449"/>
      <c r="D63" s="449"/>
      <c r="E63" s="289" t="s">
        <v>357</v>
      </c>
      <c r="F63" s="33" t="s">
        <v>150</v>
      </c>
      <c r="G63" s="449"/>
      <c r="H63" s="449"/>
    </row>
    <row r="64" spans="1:8" s="278" customFormat="1" ht="14.25" customHeight="1">
      <c r="A64" s="287"/>
      <c r="B64" s="33" t="s">
        <v>151</v>
      </c>
      <c r="C64" s="449"/>
      <c r="D64" s="449"/>
      <c r="E64" s="289" t="s">
        <v>358</v>
      </c>
      <c r="F64" s="33" t="s">
        <v>152</v>
      </c>
      <c r="G64" s="449"/>
      <c r="H64" s="449"/>
    </row>
    <row r="65" spans="1:8" s="278" customFormat="1" ht="14.25" customHeight="1">
      <c r="A65" s="287"/>
      <c r="B65" s="33" t="s">
        <v>153</v>
      </c>
      <c r="C65" s="449"/>
      <c r="D65" s="449"/>
      <c r="E65" s="35" t="s">
        <v>359</v>
      </c>
      <c r="F65" s="33" t="s">
        <v>154</v>
      </c>
      <c r="G65" s="449"/>
      <c r="H65" s="449"/>
    </row>
    <row r="66" spans="1:8" s="278" customFormat="1" ht="14.25" customHeight="1">
      <c r="A66" s="287"/>
      <c r="B66" s="33" t="s">
        <v>155</v>
      </c>
      <c r="C66" s="449"/>
      <c r="D66" s="449"/>
      <c r="E66" s="38" t="s">
        <v>156</v>
      </c>
      <c r="F66" s="33" t="s">
        <v>157</v>
      </c>
      <c r="G66" s="449"/>
      <c r="H66" s="449"/>
    </row>
    <row r="67" spans="1:8" s="276" customFormat="1" ht="14.25" customHeight="1">
      <c r="A67" s="287"/>
      <c r="B67" s="33" t="s">
        <v>158</v>
      </c>
      <c r="C67" s="449"/>
      <c r="D67" s="449"/>
      <c r="E67" s="34" t="s">
        <v>360</v>
      </c>
      <c r="F67" s="33" t="s">
        <v>159</v>
      </c>
      <c r="G67" s="449">
        <f>SUM(G54:G55)-G56+G57+G58+G59+G65+G66</f>
        <v>0</v>
      </c>
      <c r="H67" s="449">
        <f>SUM(H54:H55)-H56+H57+H58+H59+H65+H66</f>
        <v>0</v>
      </c>
    </row>
    <row r="68" spans="1:8" s="276" customFormat="1" ht="14.25" customHeight="1">
      <c r="A68" s="287"/>
      <c r="B68" s="33" t="s">
        <v>160</v>
      </c>
      <c r="C68" s="449"/>
      <c r="D68" s="449"/>
      <c r="E68" s="38" t="s">
        <v>361</v>
      </c>
      <c r="F68" s="33" t="s">
        <v>161</v>
      </c>
      <c r="G68" s="449"/>
      <c r="H68" s="449"/>
    </row>
    <row r="69" spans="1:8" s="276" customFormat="1" ht="14.25" customHeight="1">
      <c r="A69" s="287"/>
      <c r="B69" s="33" t="s">
        <v>162</v>
      </c>
      <c r="C69" s="449"/>
      <c r="D69" s="449"/>
      <c r="E69" s="290" t="s">
        <v>163</v>
      </c>
      <c r="F69" s="33" t="s">
        <v>164</v>
      </c>
      <c r="G69" s="449">
        <f>G67+G68</f>
        <v>0</v>
      </c>
      <c r="H69" s="449">
        <f>H67+H68</f>
        <v>0</v>
      </c>
    </row>
    <row r="70" spans="1:8" s="276" customFormat="1" ht="14.25" customHeight="1" thickBot="1">
      <c r="A70" s="291" t="s">
        <v>362</v>
      </c>
      <c r="B70" s="33" t="s">
        <v>165</v>
      </c>
      <c r="C70" s="449">
        <f>C26+C51</f>
        <v>0</v>
      </c>
      <c r="D70" s="449">
        <f>D26+D51</f>
        <v>0</v>
      </c>
      <c r="E70" s="292" t="s">
        <v>363</v>
      </c>
      <c r="F70" s="46" t="s">
        <v>166</v>
      </c>
      <c r="G70" s="562">
        <f>G69+G43</f>
        <v>0</v>
      </c>
      <c r="H70" s="562">
        <f>H69+H43</f>
        <v>0</v>
      </c>
    </row>
    <row r="71" spans="1:8" ht="15">
      <c r="A71" s="50"/>
      <c r="B71" s="50"/>
      <c r="C71" s="371"/>
      <c r="D71" s="371"/>
      <c r="E71" s="51"/>
      <c r="F71" s="52"/>
      <c r="G71" s="373"/>
      <c r="H71" s="373"/>
    </row>
  </sheetData>
  <sheetProtection selectLockedCells="1"/>
  <mergeCells count="2">
    <mergeCell ref="A1:H1"/>
    <mergeCell ref="D3:E3"/>
  </mergeCells>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3"/>
  <sheetViews>
    <sheetView zoomScale="70" zoomScaleNormal="70" workbookViewId="0">
      <selection activeCell="C5" sqref="C5"/>
    </sheetView>
  </sheetViews>
  <sheetFormatPr defaultColWidth="9" defaultRowHeight="15"/>
  <cols>
    <col min="1" max="1" width="45.453125" style="2" customWidth="1"/>
    <col min="2" max="2" width="6.6328125" style="2" customWidth="1"/>
    <col min="3" max="4" width="20.6328125" style="2" customWidth="1"/>
    <col min="5" max="5" width="40" style="2" customWidth="1"/>
    <col min="6" max="6" width="6.6328125" style="28" customWidth="1"/>
    <col min="7" max="8" width="20.6328125" style="2" customWidth="1"/>
    <col min="9" max="16384" width="9" style="2"/>
  </cols>
  <sheetData>
    <row r="1" spans="1:9" s="339" customFormat="1" ht="29.15" customHeight="1">
      <c r="A1" s="661" t="s">
        <v>1784</v>
      </c>
      <c r="B1" s="661"/>
      <c r="C1" s="661"/>
      <c r="D1" s="661"/>
      <c r="E1" s="661"/>
      <c r="F1" s="661"/>
      <c r="G1" s="661"/>
      <c r="H1" s="661"/>
    </row>
    <row r="2" spans="1:9" s="3" customFormat="1" ht="14.25" customHeight="1">
      <c r="F2" s="4"/>
      <c r="I2" s="259"/>
    </row>
    <row r="3" spans="1:9" s="3" customFormat="1" ht="14.25" customHeight="1" thickBot="1">
      <c r="A3" s="530" t="str">
        <f>'01资产负债表'!A3</f>
        <v>编制单位：</v>
      </c>
      <c r="B3" s="5"/>
      <c r="C3" s="5"/>
      <c r="D3" s="662"/>
      <c r="E3" s="662"/>
      <c r="F3" s="6"/>
      <c r="G3" s="5"/>
      <c r="H3" s="262" t="s">
        <v>167</v>
      </c>
      <c r="I3" s="259"/>
    </row>
    <row r="4" spans="1:9" s="3" customFormat="1" ht="14.25" customHeight="1">
      <c r="A4" s="7" t="s">
        <v>2</v>
      </c>
      <c r="B4" s="8" t="s">
        <v>3</v>
      </c>
      <c r="C4" s="8" t="s">
        <v>168</v>
      </c>
      <c r="D4" s="9" t="s">
        <v>169</v>
      </c>
      <c r="E4" s="8" t="s">
        <v>170</v>
      </c>
      <c r="F4" s="8" t="s">
        <v>3</v>
      </c>
      <c r="G4" s="258" t="s">
        <v>171</v>
      </c>
      <c r="H4" s="261" t="s">
        <v>169</v>
      </c>
      <c r="I4" s="259"/>
    </row>
    <row r="5" spans="1:9" s="3" customFormat="1" ht="14.25" customHeight="1">
      <c r="A5" s="10" t="s">
        <v>172</v>
      </c>
      <c r="B5" s="11" t="s">
        <v>4</v>
      </c>
      <c r="C5" s="450">
        <f>C6+SUM(C9:C11)</f>
        <v>0</v>
      </c>
      <c r="D5" s="450">
        <f>D6+SUM(D9:D11)</f>
        <v>0</v>
      </c>
      <c r="E5" s="12" t="s">
        <v>173</v>
      </c>
      <c r="F5" s="13">
        <v>29</v>
      </c>
      <c r="G5" s="589"/>
      <c r="H5" s="590"/>
      <c r="I5" s="259"/>
    </row>
    <row r="6" spans="1:9" s="3" customFormat="1" ht="14.25" customHeight="1">
      <c r="A6" s="14" t="s">
        <v>174</v>
      </c>
      <c r="B6" s="11" t="s">
        <v>8</v>
      </c>
      <c r="C6" s="450">
        <f>C7+C8</f>
        <v>0</v>
      </c>
      <c r="D6" s="450">
        <f>D7+D8</f>
        <v>0</v>
      </c>
      <c r="E6" s="15" t="s">
        <v>175</v>
      </c>
      <c r="F6" s="13">
        <v>30</v>
      </c>
      <c r="G6" s="589"/>
      <c r="H6" s="590"/>
      <c r="I6" s="259"/>
    </row>
    <row r="7" spans="1:9" s="3" customFormat="1" ht="14.25" customHeight="1">
      <c r="A7" s="16" t="s">
        <v>176</v>
      </c>
      <c r="B7" s="11" t="s">
        <v>11</v>
      </c>
      <c r="C7" s="450"/>
      <c r="D7" s="450"/>
      <c r="E7" s="17" t="s">
        <v>177</v>
      </c>
      <c r="F7" s="13">
        <v>31</v>
      </c>
      <c r="G7" s="589"/>
      <c r="H7" s="590"/>
      <c r="I7" s="259"/>
    </row>
    <row r="8" spans="1:9" s="3" customFormat="1" ht="14.25" customHeight="1">
      <c r="A8" s="16" t="s">
        <v>178</v>
      </c>
      <c r="B8" s="11" t="s">
        <v>13</v>
      </c>
      <c r="C8" s="450"/>
      <c r="D8" s="450"/>
      <c r="E8" s="17" t="s">
        <v>2059</v>
      </c>
      <c r="F8" s="13">
        <v>32</v>
      </c>
      <c r="G8" s="589"/>
      <c r="H8" s="590"/>
      <c r="I8" s="259"/>
    </row>
    <row r="9" spans="1:9" s="3" customFormat="1" ht="14.25" customHeight="1">
      <c r="A9" s="14" t="s">
        <v>179</v>
      </c>
      <c r="B9" s="11" t="s">
        <v>15</v>
      </c>
      <c r="C9" s="450"/>
      <c r="D9" s="450"/>
      <c r="E9" s="14" t="s">
        <v>180</v>
      </c>
      <c r="F9" s="13">
        <v>33</v>
      </c>
      <c r="G9" s="589"/>
      <c r="H9" s="590"/>
      <c r="I9" s="259"/>
    </row>
    <row r="10" spans="1:9" s="3" customFormat="1" ht="14.25" customHeight="1">
      <c r="A10" s="14" t="s">
        <v>181</v>
      </c>
      <c r="B10" s="11" t="s">
        <v>17</v>
      </c>
      <c r="C10" s="450"/>
      <c r="D10" s="450"/>
      <c r="E10" s="18" t="s">
        <v>182</v>
      </c>
      <c r="F10" s="13">
        <v>34</v>
      </c>
      <c r="G10" s="589">
        <f>C5-C12</f>
        <v>0</v>
      </c>
      <c r="H10" s="589">
        <f>D5-D12</f>
        <v>0</v>
      </c>
      <c r="I10" s="259"/>
    </row>
    <row r="11" spans="1:9" s="3" customFormat="1" ht="14.25" customHeight="1">
      <c r="A11" s="14" t="s">
        <v>183</v>
      </c>
      <c r="B11" s="11" t="s">
        <v>19</v>
      </c>
      <c r="C11" s="450"/>
      <c r="D11" s="450"/>
      <c r="E11" s="17" t="s">
        <v>184</v>
      </c>
      <c r="F11" s="13">
        <v>35</v>
      </c>
      <c r="G11" s="589"/>
      <c r="H11" s="590"/>
      <c r="I11" s="259"/>
    </row>
    <row r="12" spans="1:9" s="3" customFormat="1" ht="14.25" customHeight="1">
      <c r="A12" s="10" t="s">
        <v>185</v>
      </c>
      <c r="B12" s="11" t="s">
        <v>23</v>
      </c>
      <c r="C12" s="450">
        <f>C13+SUM(C16:C25)+C28+C32+G5-G6-G7-G9</f>
        <v>0</v>
      </c>
      <c r="D12" s="450">
        <f>D13+SUM(D16:D25)+D28+D32+H5-H6-H7-H9</f>
        <v>0</v>
      </c>
      <c r="E12" s="17" t="s">
        <v>186</v>
      </c>
      <c r="F12" s="13">
        <v>36</v>
      </c>
      <c r="G12" s="589"/>
      <c r="H12" s="590"/>
      <c r="I12" s="259"/>
    </row>
    <row r="13" spans="1:9" s="3" customFormat="1" ht="14.25" customHeight="1">
      <c r="A13" s="14" t="s">
        <v>187</v>
      </c>
      <c r="B13" s="11" t="s">
        <v>25</v>
      </c>
      <c r="C13" s="450">
        <f>C14+C15</f>
        <v>0</v>
      </c>
      <c r="D13" s="450">
        <f>D14+D15</f>
        <v>0</v>
      </c>
      <c r="E13" s="17" t="s">
        <v>188</v>
      </c>
      <c r="F13" s="13">
        <v>37</v>
      </c>
      <c r="G13" s="589"/>
      <c r="H13" s="590"/>
      <c r="I13" s="259"/>
    </row>
    <row r="14" spans="1:9" s="3" customFormat="1" ht="14.25" customHeight="1">
      <c r="A14" s="16" t="s">
        <v>189</v>
      </c>
      <c r="B14" s="11" t="s">
        <v>28</v>
      </c>
      <c r="C14" s="450"/>
      <c r="D14" s="450"/>
      <c r="E14" s="12" t="s">
        <v>190</v>
      </c>
      <c r="F14" s="13">
        <v>38</v>
      </c>
      <c r="G14" s="589"/>
      <c r="H14" s="590"/>
      <c r="I14" s="259"/>
    </row>
    <row r="15" spans="1:9" s="3" customFormat="1" ht="14.25" customHeight="1">
      <c r="A15" s="16" t="s">
        <v>191</v>
      </c>
      <c r="B15" s="11" t="s">
        <v>30</v>
      </c>
      <c r="C15" s="450"/>
      <c r="D15" s="450"/>
      <c r="E15" s="12" t="s">
        <v>192</v>
      </c>
      <c r="F15" s="13">
        <v>39</v>
      </c>
      <c r="G15" s="589"/>
      <c r="H15" s="590"/>
      <c r="I15" s="259"/>
    </row>
    <row r="16" spans="1:9" s="3" customFormat="1" ht="14.25" customHeight="1">
      <c r="A16" s="14" t="s">
        <v>193</v>
      </c>
      <c r="B16" s="11" t="s">
        <v>33</v>
      </c>
      <c r="C16" s="450"/>
      <c r="D16" s="450"/>
      <c r="E16" s="17" t="s">
        <v>194</v>
      </c>
      <c r="F16" s="13">
        <v>40</v>
      </c>
      <c r="G16" s="589"/>
      <c r="H16" s="590"/>
      <c r="I16" s="259"/>
    </row>
    <row r="17" spans="1:9" s="3" customFormat="1" ht="14.25" customHeight="1">
      <c r="A17" s="14" t="s">
        <v>195</v>
      </c>
      <c r="B17" s="11" t="s">
        <v>35</v>
      </c>
      <c r="C17" s="450"/>
      <c r="D17" s="450"/>
      <c r="E17" s="17" t="s">
        <v>196</v>
      </c>
      <c r="F17" s="13">
        <v>41</v>
      </c>
      <c r="G17" s="589"/>
      <c r="H17" s="590"/>
      <c r="I17" s="259"/>
    </row>
    <row r="18" spans="1:9" s="3" customFormat="1" ht="14.25" customHeight="1">
      <c r="A18" s="14" t="s">
        <v>197</v>
      </c>
      <c r="B18" s="11" t="s">
        <v>38</v>
      </c>
      <c r="C18" s="450"/>
      <c r="D18" s="450"/>
      <c r="E18" s="12" t="s">
        <v>198</v>
      </c>
      <c r="F18" s="13">
        <v>42</v>
      </c>
      <c r="G18" s="589"/>
      <c r="H18" s="590"/>
      <c r="I18" s="259"/>
    </row>
    <row r="19" spans="1:9" s="3" customFormat="1" ht="14.25" customHeight="1">
      <c r="A19" s="14" t="s">
        <v>199</v>
      </c>
      <c r="B19" s="11" t="s">
        <v>40</v>
      </c>
      <c r="C19" s="450"/>
      <c r="D19" s="450"/>
      <c r="E19" s="12" t="s">
        <v>200</v>
      </c>
      <c r="F19" s="13">
        <v>43</v>
      </c>
      <c r="G19" s="589"/>
      <c r="H19" s="590"/>
      <c r="I19" s="259"/>
    </row>
    <row r="20" spans="1:9" s="3" customFormat="1" ht="14.25" customHeight="1">
      <c r="A20" s="14" t="s">
        <v>201</v>
      </c>
      <c r="B20" s="11" t="s">
        <v>43</v>
      </c>
      <c r="C20" s="450"/>
      <c r="D20" s="450"/>
      <c r="E20" s="18" t="s">
        <v>202</v>
      </c>
      <c r="F20" s="13">
        <v>44</v>
      </c>
      <c r="G20" s="589">
        <f>G10+G11-G16</f>
        <v>0</v>
      </c>
      <c r="H20" s="589">
        <f>H10+H11-H16</f>
        <v>0</v>
      </c>
      <c r="I20" s="259"/>
    </row>
    <row r="21" spans="1:9" s="3" customFormat="1" ht="14.25" customHeight="1">
      <c r="A21" s="14" t="s">
        <v>203</v>
      </c>
      <c r="B21" s="11" t="s">
        <v>45</v>
      </c>
      <c r="C21" s="450"/>
      <c r="D21" s="450"/>
      <c r="E21" s="17" t="s">
        <v>204</v>
      </c>
      <c r="F21" s="13">
        <v>45</v>
      </c>
      <c r="G21" s="589"/>
      <c r="H21" s="590"/>
      <c r="I21" s="259"/>
    </row>
    <row r="22" spans="1:9" s="3" customFormat="1" ht="14.25" customHeight="1">
      <c r="A22" s="14" t="s">
        <v>205</v>
      </c>
      <c r="B22" s="11" t="s">
        <v>47</v>
      </c>
      <c r="C22" s="450"/>
      <c r="D22" s="450"/>
      <c r="E22" s="18" t="s">
        <v>206</v>
      </c>
      <c r="F22" s="13">
        <v>46</v>
      </c>
      <c r="G22" s="589">
        <f>G20-G21</f>
        <v>0</v>
      </c>
      <c r="H22" s="589">
        <f>H20-H21</f>
        <v>0</v>
      </c>
      <c r="I22" s="259"/>
    </row>
    <row r="23" spans="1:9" s="3" customFormat="1" ht="14.25" customHeight="1">
      <c r="A23" s="14" t="s">
        <v>207</v>
      </c>
      <c r="B23" s="11" t="s">
        <v>49</v>
      </c>
      <c r="C23" s="450"/>
      <c r="D23" s="450"/>
      <c r="E23" s="19" t="s">
        <v>208</v>
      </c>
      <c r="F23" s="13">
        <v>47</v>
      </c>
      <c r="G23" s="589">
        <f>G22</f>
        <v>0</v>
      </c>
      <c r="H23" s="590">
        <f>H22</f>
        <v>0</v>
      </c>
      <c r="I23" s="259"/>
    </row>
    <row r="24" spans="1:9" s="3" customFormat="1" ht="14.25" customHeight="1">
      <c r="A24" s="14" t="s">
        <v>209</v>
      </c>
      <c r="B24" s="11" t="s">
        <v>51</v>
      </c>
      <c r="C24" s="450"/>
      <c r="D24" s="450"/>
      <c r="E24" s="19" t="s">
        <v>210</v>
      </c>
      <c r="F24" s="13">
        <v>48</v>
      </c>
      <c r="G24" s="589"/>
      <c r="H24" s="590"/>
      <c r="I24" s="259"/>
    </row>
    <row r="25" spans="1:9" s="3" customFormat="1" ht="14.25" customHeight="1">
      <c r="A25" s="14" t="s">
        <v>211</v>
      </c>
      <c r="B25" s="11" t="s">
        <v>55</v>
      </c>
      <c r="C25" s="450"/>
      <c r="D25" s="450"/>
      <c r="E25" s="18" t="s">
        <v>212</v>
      </c>
      <c r="F25" s="13">
        <v>49</v>
      </c>
      <c r="G25" s="589"/>
      <c r="H25" s="590"/>
      <c r="I25" s="259"/>
    </row>
    <row r="26" spans="1:9" s="3" customFormat="1" ht="14.25" customHeight="1">
      <c r="A26" s="20" t="s">
        <v>213</v>
      </c>
      <c r="B26" s="11" t="s">
        <v>57</v>
      </c>
      <c r="C26" s="450"/>
      <c r="D26" s="450"/>
      <c r="E26" s="19" t="s">
        <v>214</v>
      </c>
      <c r="F26" s="13">
        <v>50</v>
      </c>
      <c r="G26" s="589"/>
      <c r="H26" s="590"/>
    </row>
    <row r="27" spans="1:9" s="3" customFormat="1" ht="14.25" customHeight="1">
      <c r="A27" s="21" t="s">
        <v>215</v>
      </c>
      <c r="B27" s="11" t="s">
        <v>59</v>
      </c>
      <c r="C27" s="450"/>
      <c r="D27" s="450"/>
      <c r="E27" s="19" t="s">
        <v>216</v>
      </c>
      <c r="F27" s="13">
        <v>51</v>
      </c>
      <c r="G27" s="589"/>
      <c r="H27" s="590"/>
    </row>
    <row r="28" spans="1:9" s="3" customFormat="1" ht="14.25" customHeight="1">
      <c r="A28" s="14" t="s">
        <v>217</v>
      </c>
      <c r="B28" s="11" t="s">
        <v>61</v>
      </c>
      <c r="C28" s="450"/>
      <c r="D28" s="450"/>
      <c r="E28" s="18" t="s">
        <v>218</v>
      </c>
      <c r="F28" s="13">
        <v>52</v>
      </c>
      <c r="G28" s="589"/>
      <c r="H28" s="590"/>
    </row>
    <row r="29" spans="1:9" s="3" customFormat="1" ht="14.25" customHeight="1">
      <c r="A29" s="16" t="s">
        <v>219</v>
      </c>
      <c r="B29" s="11" t="s">
        <v>63</v>
      </c>
      <c r="C29" s="450"/>
      <c r="D29" s="450"/>
      <c r="E29" s="22" t="s">
        <v>220</v>
      </c>
      <c r="F29" s="13">
        <v>53</v>
      </c>
      <c r="G29" s="589"/>
      <c r="H29" s="590"/>
    </row>
    <row r="30" spans="1:9" s="3" customFormat="1" ht="14.25" customHeight="1">
      <c r="A30" s="16" t="s">
        <v>221</v>
      </c>
      <c r="B30" s="11" t="s">
        <v>65</v>
      </c>
      <c r="C30" s="450"/>
      <c r="D30" s="450"/>
      <c r="E30" s="23" t="s">
        <v>222</v>
      </c>
      <c r="F30" s="13">
        <v>54</v>
      </c>
      <c r="G30" s="589">
        <f>G22</f>
        <v>0</v>
      </c>
      <c r="H30" s="590">
        <f>H22</f>
        <v>0</v>
      </c>
    </row>
    <row r="31" spans="1:9" s="3" customFormat="1" ht="14.25" customHeight="1">
      <c r="A31" s="16" t="s">
        <v>223</v>
      </c>
      <c r="B31" s="11" t="s">
        <v>67</v>
      </c>
      <c r="C31" s="450"/>
      <c r="D31" s="450"/>
      <c r="E31" s="19" t="s">
        <v>224</v>
      </c>
      <c r="F31" s="13">
        <v>55</v>
      </c>
      <c r="G31" s="589">
        <f>G23</f>
        <v>0</v>
      </c>
      <c r="H31" s="590">
        <f>H23</f>
        <v>0</v>
      </c>
    </row>
    <row r="32" spans="1:9" s="3" customFormat="1" ht="14.25" customHeight="1" thickBot="1">
      <c r="A32" s="24" t="s">
        <v>225</v>
      </c>
      <c r="B32" s="25" t="s">
        <v>70</v>
      </c>
      <c r="C32" s="450"/>
      <c r="D32" s="450"/>
      <c r="E32" s="26" t="s">
        <v>226</v>
      </c>
      <c r="F32" s="27">
        <v>56</v>
      </c>
      <c r="G32" s="589"/>
      <c r="H32" s="590"/>
    </row>
    <row r="33" spans="1:8">
      <c r="A33" s="21"/>
      <c r="B33" s="3"/>
      <c r="C33" s="3"/>
      <c r="D33" s="3"/>
      <c r="E33" s="3"/>
      <c r="F33" s="4"/>
      <c r="G33" s="3"/>
      <c r="H33" s="3"/>
    </row>
  </sheetData>
  <sheetProtection selectLockedCells="1"/>
  <mergeCells count="2">
    <mergeCell ref="A1:H1"/>
    <mergeCell ref="D3:E3"/>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4"/>
  <sheetViews>
    <sheetView zoomScale="70" zoomScaleNormal="70" workbookViewId="0">
      <selection activeCell="D8" sqref="D8"/>
    </sheetView>
  </sheetViews>
  <sheetFormatPr defaultColWidth="9" defaultRowHeight="15"/>
  <cols>
    <col min="1" max="1" width="31.6328125" style="29" customWidth="1"/>
    <col min="2" max="2" width="5.6328125" style="29" customWidth="1"/>
    <col min="3" max="4" width="20.6328125" style="29" customWidth="1"/>
    <col min="5" max="5" width="47.6328125" style="29" customWidth="1"/>
    <col min="6" max="6" width="5.6328125" style="29" customWidth="1"/>
    <col min="7" max="8" width="20.6328125" style="29" customWidth="1"/>
    <col min="9" max="16384" width="9" style="29"/>
  </cols>
  <sheetData>
    <row r="1" spans="1:8" ht="29.15" customHeight="1">
      <c r="A1" s="659" t="s">
        <v>1785</v>
      </c>
      <c r="B1" s="659"/>
      <c r="C1" s="659"/>
      <c r="D1" s="659"/>
      <c r="E1" s="659"/>
      <c r="F1" s="659"/>
      <c r="G1" s="659"/>
      <c r="H1" s="659"/>
    </row>
    <row r="2" spans="1:8" s="278" customFormat="1" ht="14.25" customHeight="1">
      <c r="A2" s="275"/>
      <c r="B2" s="275"/>
      <c r="C2" s="275"/>
      <c r="D2" s="275"/>
      <c r="E2" s="275"/>
      <c r="F2" s="275"/>
      <c r="G2" s="275"/>
      <c r="H2" s="275"/>
    </row>
    <row r="3" spans="1:8" s="278" customFormat="1" ht="14.25" customHeight="1" thickBot="1">
      <c r="A3" s="529" t="str">
        <f>'01资产负债表'!A3</f>
        <v>编制单位：</v>
      </c>
      <c r="B3" s="260"/>
      <c r="C3" s="260"/>
      <c r="D3" s="663"/>
      <c r="E3" s="663"/>
      <c r="F3" s="260"/>
      <c r="G3" s="260"/>
      <c r="H3" s="260" t="s">
        <v>227</v>
      </c>
    </row>
    <row r="4" spans="1:8" s="278" customFormat="1" ht="14.25" customHeight="1">
      <c r="A4" s="30" t="s">
        <v>228</v>
      </c>
      <c r="B4" s="31" t="s">
        <v>3</v>
      </c>
      <c r="C4" s="31" t="s">
        <v>171</v>
      </c>
      <c r="D4" s="32" t="s">
        <v>229</v>
      </c>
      <c r="E4" s="31" t="s">
        <v>2</v>
      </c>
      <c r="F4" s="31" t="s">
        <v>3</v>
      </c>
      <c r="G4" s="31" t="s">
        <v>171</v>
      </c>
      <c r="H4" s="32" t="s">
        <v>229</v>
      </c>
    </row>
    <row r="5" spans="1:8" s="278" customFormat="1" ht="14.25" customHeight="1">
      <c r="A5" s="492" t="s">
        <v>230</v>
      </c>
      <c r="B5" s="33" t="s">
        <v>4</v>
      </c>
      <c r="C5" s="449" t="s">
        <v>2016</v>
      </c>
      <c r="D5" s="449" t="s">
        <v>2016</v>
      </c>
      <c r="E5" s="35" t="s">
        <v>231</v>
      </c>
      <c r="F5" s="33" t="s">
        <v>75</v>
      </c>
      <c r="G5" s="449"/>
      <c r="H5" s="449"/>
    </row>
    <row r="6" spans="1:8" s="278" customFormat="1" ht="14.25" customHeight="1">
      <c r="A6" s="493" t="s">
        <v>232</v>
      </c>
      <c r="B6" s="33" t="s">
        <v>8</v>
      </c>
      <c r="C6" s="449"/>
      <c r="D6" s="449"/>
      <c r="E6" s="38" t="s">
        <v>233</v>
      </c>
      <c r="F6" s="33" t="s">
        <v>77</v>
      </c>
      <c r="G6" s="449"/>
      <c r="H6" s="449"/>
    </row>
    <row r="7" spans="1:8" s="278" customFormat="1" ht="14.25" customHeight="1">
      <c r="A7" s="494" t="s">
        <v>2013</v>
      </c>
      <c r="B7" s="33" t="s">
        <v>11</v>
      </c>
      <c r="C7" s="449"/>
      <c r="D7" s="449"/>
      <c r="E7" s="38" t="s">
        <v>234</v>
      </c>
      <c r="F7" s="33" t="s">
        <v>80</v>
      </c>
      <c r="G7" s="449"/>
      <c r="H7" s="449"/>
    </row>
    <row r="8" spans="1:8" s="278" customFormat="1" ht="14.25" customHeight="1">
      <c r="A8" s="494" t="s">
        <v>2012</v>
      </c>
      <c r="B8" s="33" t="s">
        <v>13</v>
      </c>
      <c r="C8" s="449"/>
      <c r="D8" s="449"/>
      <c r="E8" s="39" t="s">
        <v>235</v>
      </c>
      <c r="F8" s="33" t="s">
        <v>83</v>
      </c>
      <c r="G8" s="449">
        <f>C32+C33+SUM(G5:G7)</f>
        <v>0</v>
      </c>
      <c r="H8" s="449">
        <f>D32+D33+SUM(H5:H7)</f>
        <v>0</v>
      </c>
    </row>
    <row r="9" spans="1:8" s="278" customFormat="1" ht="14.25" customHeight="1">
      <c r="A9" s="494" t="s">
        <v>236</v>
      </c>
      <c r="B9" s="33" t="s">
        <v>15</v>
      </c>
      <c r="C9" s="449"/>
      <c r="D9" s="449"/>
      <c r="E9" s="35" t="s">
        <v>237</v>
      </c>
      <c r="F9" s="33" t="s">
        <v>86</v>
      </c>
      <c r="G9" s="449"/>
      <c r="H9" s="449"/>
    </row>
    <row r="10" spans="1:8" s="278" customFormat="1" ht="14.25" customHeight="1">
      <c r="A10" s="494" t="s">
        <v>2010</v>
      </c>
      <c r="B10" s="33" t="s">
        <v>17</v>
      </c>
      <c r="C10" s="449"/>
      <c r="D10" s="449"/>
      <c r="E10" s="38" t="s">
        <v>238</v>
      </c>
      <c r="F10" s="33" t="s">
        <v>89</v>
      </c>
      <c r="G10" s="449"/>
      <c r="H10" s="449"/>
    </row>
    <row r="11" spans="1:8" s="278" customFormat="1" ht="14.25" customHeight="1">
      <c r="A11" s="494" t="s">
        <v>2014</v>
      </c>
      <c r="B11" s="33" t="s">
        <v>19</v>
      </c>
      <c r="C11" s="449"/>
      <c r="D11" s="449"/>
      <c r="E11" s="40" t="s">
        <v>239</v>
      </c>
      <c r="F11" s="33" t="s">
        <v>91</v>
      </c>
      <c r="G11" s="449"/>
      <c r="H11" s="449"/>
    </row>
    <row r="12" spans="1:8" s="278" customFormat="1" ht="14.25" customHeight="1">
      <c r="A12" s="495" t="s">
        <v>2011</v>
      </c>
      <c r="B12" s="33" t="s">
        <v>23</v>
      </c>
      <c r="C12" s="449"/>
      <c r="D12" s="449"/>
      <c r="E12" s="38" t="s">
        <v>240</v>
      </c>
      <c r="F12" s="33" t="s">
        <v>241</v>
      </c>
      <c r="G12" s="449"/>
      <c r="H12" s="449"/>
    </row>
    <row r="13" spans="1:8" s="278" customFormat="1" ht="14.25" customHeight="1">
      <c r="A13" s="495" t="s">
        <v>2015</v>
      </c>
      <c r="B13" s="33" t="s">
        <v>25</v>
      </c>
      <c r="C13" s="449"/>
      <c r="D13" s="449"/>
      <c r="E13" s="38" t="s">
        <v>242</v>
      </c>
      <c r="F13" s="33" t="s">
        <v>243</v>
      </c>
      <c r="G13" s="449"/>
      <c r="H13" s="449"/>
    </row>
    <row r="14" spans="1:8" s="278" customFormat="1" ht="14.25" customHeight="1">
      <c r="A14" s="495" t="s">
        <v>244</v>
      </c>
      <c r="B14" s="33" t="s">
        <v>28</v>
      </c>
      <c r="C14" s="449"/>
      <c r="D14" s="449"/>
      <c r="E14" s="39" t="s">
        <v>245</v>
      </c>
      <c r="F14" s="33" t="s">
        <v>99</v>
      </c>
      <c r="G14" s="449">
        <f>SUM(G9:G13)</f>
        <v>0</v>
      </c>
      <c r="H14" s="449">
        <f>SUM(H9:H13)</f>
        <v>0</v>
      </c>
    </row>
    <row r="15" spans="1:8" s="278" customFormat="1" ht="14.25" customHeight="1">
      <c r="A15" s="495" t="s">
        <v>246</v>
      </c>
      <c r="B15" s="33" t="s">
        <v>30</v>
      </c>
      <c r="C15" s="449"/>
      <c r="D15" s="449"/>
      <c r="E15" s="41" t="s">
        <v>247</v>
      </c>
      <c r="F15" s="33" t="s">
        <v>102</v>
      </c>
      <c r="G15" s="449">
        <f>G8-G14</f>
        <v>0</v>
      </c>
      <c r="H15" s="449">
        <f>H8-H14</f>
        <v>0</v>
      </c>
    </row>
    <row r="16" spans="1:8" s="278" customFormat="1" ht="14.25" customHeight="1">
      <c r="A16" s="495" t="s">
        <v>248</v>
      </c>
      <c r="B16" s="33" t="s">
        <v>33</v>
      </c>
      <c r="C16" s="449"/>
      <c r="D16" s="449"/>
      <c r="E16" s="42" t="s">
        <v>249</v>
      </c>
      <c r="F16" s="33" t="s">
        <v>105</v>
      </c>
      <c r="G16" s="449"/>
      <c r="H16" s="449"/>
    </row>
    <row r="17" spans="1:8" s="278" customFormat="1" ht="14.25" customHeight="1">
      <c r="A17" s="496" t="s">
        <v>250</v>
      </c>
      <c r="B17" s="33" t="s">
        <v>35</v>
      </c>
      <c r="C17" s="449"/>
      <c r="D17" s="449"/>
      <c r="E17" s="38" t="s">
        <v>251</v>
      </c>
      <c r="F17" s="33" t="s">
        <v>107</v>
      </c>
      <c r="G17" s="449"/>
      <c r="H17" s="449"/>
    </row>
    <row r="18" spans="1:8" s="278" customFormat="1" ht="14.25" customHeight="1">
      <c r="A18" s="493" t="s">
        <v>252</v>
      </c>
      <c r="B18" s="33" t="s">
        <v>38</v>
      </c>
      <c r="C18" s="449"/>
      <c r="D18" s="449"/>
      <c r="E18" s="35" t="s">
        <v>253</v>
      </c>
      <c r="F18" s="33" t="s">
        <v>110</v>
      </c>
      <c r="G18" s="449"/>
      <c r="H18" s="449"/>
    </row>
    <row r="19" spans="1:8" s="278" customFormat="1" ht="14.25" customHeight="1">
      <c r="A19" s="497" t="s">
        <v>254</v>
      </c>
      <c r="B19" s="33" t="s">
        <v>40</v>
      </c>
      <c r="C19" s="449">
        <f>SUM(C6:C18)</f>
        <v>0</v>
      </c>
      <c r="D19" s="449">
        <f>SUM(D6:D18)</f>
        <v>0</v>
      </c>
      <c r="E19" s="38" t="s">
        <v>255</v>
      </c>
      <c r="F19" s="33" t="s">
        <v>112</v>
      </c>
      <c r="G19" s="449"/>
      <c r="H19" s="449"/>
    </row>
    <row r="20" spans="1:8" s="278" customFormat="1" ht="14.25" customHeight="1">
      <c r="A20" s="498" t="s">
        <v>256</v>
      </c>
      <c r="B20" s="33" t="s">
        <v>43</v>
      </c>
      <c r="C20" s="449"/>
      <c r="D20" s="449"/>
      <c r="E20" s="35" t="s">
        <v>257</v>
      </c>
      <c r="F20" s="33" t="s">
        <v>115</v>
      </c>
      <c r="G20" s="449"/>
      <c r="H20" s="449"/>
    </row>
    <row r="21" spans="1:8" s="278" customFormat="1" ht="14.25" customHeight="1">
      <c r="A21" s="495" t="s">
        <v>258</v>
      </c>
      <c r="B21" s="33" t="s">
        <v>45</v>
      </c>
      <c r="C21" s="449"/>
      <c r="D21" s="449"/>
      <c r="E21" s="38" t="s">
        <v>259</v>
      </c>
      <c r="F21" s="33" t="s">
        <v>117</v>
      </c>
      <c r="G21" s="449"/>
      <c r="H21" s="449"/>
    </row>
    <row r="22" spans="1:8" s="278" customFormat="1" ht="14.25" customHeight="1">
      <c r="A22" s="495" t="s">
        <v>260</v>
      </c>
      <c r="B22" s="33" t="s">
        <v>47</v>
      </c>
      <c r="C22" s="449"/>
      <c r="D22" s="449"/>
      <c r="E22" s="39" t="s">
        <v>261</v>
      </c>
      <c r="F22" s="33" t="s">
        <v>120</v>
      </c>
      <c r="G22" s="449">
        <f>SUM(G17+G19+G20+G21)</f>
        <v>0</v>
      </c>
      <c r="H22" s="449">
        <f>SUM(H17+H19+H20+H21)</f>
        <v>0</v>
      </c>
    </row>
    <row r="23" spans="1:8" s="278" customFormat="1" ht="14.25" customHeight="1">
      <c r="A23" s="495" t="s">
        <v>262</v>
      </c>
      <c r="B23" s="33" t="s">
        <v>49</v>
      </c>
      <c r="C23" s="449"/>
      <c r="D23" s="449"/>
      <c r="E23" s="38" t="s">
        <v>263</v>
      </c>
      <c r="F23" s="33" t="s">
        <v>123</v>
      </c>
      <c r="G23" s="449"/>
      <c r="H23" s="449"/>
    </row>
    <row r="24" spans="1:8" s="278" customFormat="1" ht="14.25" customHeight="1">
      <c r="A24" s="495" t="s">
        <v>264</v>
      </c>
      <c r="B24" s="33" t="s">
        <v>51</v>
      </c>
      <c r="C24" s="449"/>
      <c r="D24" s="449"/>
      <c r="E24" s="38" t="s">
        <v>265</v>
      </c>
      <c r="F24" s="33" t="s">
        <v>126</v>
      </c>
      <c r="G24" s="449"/>
      <c r="H24" s="449"/>
    </row>
    <row r="25" spans="1:8" s="278" customFormat="1" ht="14.25" customHeight="1">
      <c r="A25" s="495" t="s">
        <v>266</v>
      </c>
      <c r="B25" s="33" t="s">
        <v>55</v>
      </c>
      <c r="C25" s="449"/>
      <c r="D25" s="449"/>
      <c r="E25" s="35" t="s">
        <v>267</v>
      </c>
      <c r="F25" s="33" t="s">
        <v>128</v>
      </c>
      <c r="G25" s="449"/>
      <c r="H25" s="449"/>
    </row>
    <row r="26" spans="1:8" s="278" customFormat="1" ht="14.25" customHeight="1">
      <c r="A26" s="493" t="s">
        <v>268</v>
      </c>
      <c r="B26" s="33" t="s">
        <v>57</v>
      </c>
      <c r="C26" s="449"/>
      <c r="D26" s="449"/>
      <c r="E26" s="38" t="s">
        <v>269</v>
      </c>
      <c r="F26" s="33" t="s">
        <v>130</v>
      </c>
      <c r="G26" s="449"/>
      <c r="H26" s="449"/>
    </row>
    <row r="27" spans="1:8" s="278" customFormat="1" ht="14.25" customHeight="1">
      <c r="A27" s="498" t="s">
        <v>270</v>
      </c>
      <c r="B27" s="33" t="s">
        <v>59</v>
      </c>
      <c r="C27" s="449"/>
      <c r="D27" s="449"/>
      <c r="E27" s="39" t="s">
        <v>271</v>
      </c>
      <c r="F27" s="33" t="s">
        <v>133</v>
      </c>
      <c r="G27" s="449">
        <f>G23+G24+G26</f>
        <v>0</v>
      </c>
      <c r="H27" s="449">
        <f>H23+H24+H26</f>
        <v>0</v>
      </c>
    </row>
    <row r="28" spans="1:8" s="278" customFormat="1" ht="14.25" customHeight="1">
      <c r="A28" s="493" t="s">
        <v>272</v>
      </c>
      <c r="B28" s="33" t="s">
        <v>61</v>
      </c>
      <c r="C28" s="449"/>
      <c r="D28" s="449"/>
      <c r="E28" s="41" t="s">
        <v>273</v>
      </c>
      <c r="F28" s="33" t="s">
        <v>136</v>
      </c>
      <c r="G28" s="449">
        <f>G22-G27</f>
        <v>0</v>
      </c>
      <c r="H28" s="449">
        <f>H22-H27</f>
        <v>0</v>
      </c>
    </row>
    <row r="29" spans="1:8" s="278" customFormat="1" ht="14.25" customHeight="1">
      <c r="A29" s="497" t="s">
        <v>274</v>
      </c>
      <c r="B29" s="33" t="s">
        <v>63</v>
      </c>
      <c r="C29" s="449">
        <f>SUM(C20:C28)</f>
        <v>0</v>
      </c>
      <c r="D29" s="449">
        <f>SUM(D20:D28)</f>
        <v>0</v>
      </c>
      <c r="E29" s="42" t="s">
        <v>275</v>
      </c>
      <c r="F29" s="33" t="s">
        <v>138</v>
      </c>
      <c r="G29" s="449"/>
      <c r="H29" s="449"/>
    </row>
    <row r="30" spans="1:8" s="278" customFormat="1" ht="14.25" customHeight="1">
      <c r="A30" s="497" t="s">
        <v>276</v>
      </c>
      <c r="B30" s="33" t="s">
        <v>65</v>
      </c>
      <c r="C30" s="449">
        <f>C19-C29</f>
        <v>0</v>
      </c>
      <c r="D30" s="449">
        <f>D19-D29</f>
        <v>0</v>
      </c>
      <c r="E30" s="42" t="s">
        <v>277</v>
      </c>
      <c r="F30" s="33" t="s">
        <v>140</v>
      </c>
      <c r="G30" s="449">
        <f>C30+G15+G28</f>
        <v>0</v>
      </c>
      <c r="H30" s="449">
        <f>D30+H15+H28</f>
        <v>0</v>
      </c>
    </row>
    <row r="31" spans="1:8" s="278" customFormat="1" ht="14.25" customHeight="1">
      <c r="A31" s="492" t="s">
        <v>278</v>
      </c>
      <c r="B31" s="33" t="s">
        <v>67</v>
      </c>
      <c r="C31" s="449"/>
      <c r="D31" s="449"/>
      <c r="E31" s="35" t="s">
        <v>279</v>
      </c>
      <c r="F31" s="33" t="s">
        <v>143</v>
      </c>
      <c r="G31" s="449">
        <f>'01资产负债表'!C6</f>
        <v>0</v>
      </c>
      <c r="H31" s="449"/>
    </row>
    <row r="32" spans="1:8" s="278" customFormat="1" ht="14.25" customHeight="1">
      <c r="A32" s="493" t="s">
        <v>280</v>
      </c>
      <c r="B32" s="33" t="s">
        <v>70</v>
      </c>
      <c r="C32" s="449"/>
      <c r="D32" s="449"/>
      <c r="E32" s="45" t="s">
        <v>281</v>
      </c>
      <c r="F32" s="33" t="s">
        <v>145</v>
      </c>
      <c r="G32" s="449">
        <f>G30+G31</f>
        <v>0</v>
      </c>
      <c r="H32" s="449">
        <f>H30+H31</f>
        <v>0</v>
      </c>
    </row>
    <row r="33" spans="1:8" s="278" customFormat="1" ht="14.25" customHeight="1" thickBot="1">
      <c r="A33" s="499" t="s">
        <v>282</v>
      </c>
      <c r="B33" s="46" t="s">
        <v>73</v>
      </c>
      <c r="C33" s="449"/>
      <c r="D33" s="449"/>
      <c r="E33" s="47"/>
      <c r="F33" s="48">
        <v>58</v>
      </c>
      <c r="G33" s="449"/>
      <c r="H33" s="449"/>
    </row>
    <row r="34" spans="1:8">
      <c r="A34" s="664"/>
      <c r="B34" s="664"/>
      <c r="C34" s="664"/>
      <c r="D34" s="664"/>
      <c r="E34" s="664"/>
      <c r="F34" s="1"/>
      <c r="G34" s="1"/>
      <c r="H34" s="1"/>
    </row>
  </sheetData>
  <sheetProtection selectLockedCells="1"/>
  <mergeCells count="3">
    <mergeCell ref="A1:H1"/>
    <mergeCell ref="D3:E3"/>
    <mergeCell ref="A34:E34"/>
  </mergeCells>
  <phoneticPr fontId="1" type="noConversion"/>
  <pageMargins left="0.7" right="0.7" top="0.75" bottom="0.75" header="0.3" footer="0.3"/>
  <pageSetup paperSize="9" orientation="portrait" horizontalDpi="180" verticalDpi="18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D7"/>
  <sheetViews>
    <sheetView workbookViewId="0">
      <selection activeCell="D6" sqref="D6"/>
    </sheetView>
  </sheetViews>
  <sheetFormatPr defaultColWidth="9" defaultRowHeight="14.25" customHeight="1"/>
  <cols>
    <col min="1" max="1" width="23.6328125" style="106" customWidth="1"/>
    <col min="2" max="2" width="21.90625" style="106" customWidth="1"/>
    <col min="3" max="3" width="25" style="106" customWidth="1"/>
    <col min="4" max="4" width="33.453125" style="106" customWidth="1"/>
    <col min="5" max="16384" width="9" style="106"/>
  </cols>
  <sheetData>
    <row r="1" spans="1:4" ht="14.25" customHeight="1">
      <c r="A1" s="657" t="s">
        <v>1678</v>
      </c>
      <c r="B1" s="657"/>
      <c r="C1" s="657"/>
      <c r="D1" s="658"/>
    </row>
    <row r="2" spans="1:4" ht="14.25" customHeight="1">
      <c r="A2" s="429" t="s">
        <v>1918</v>
      </c>
      <c r="B2" s="500" t="s">
        <v>2167</v>
      </c>
      <c r="C2" s="381" t="s">
        <v>1915</v>
      </c>
      <c r="D2" s="572" t="s">
        <v>2168</v>
      </c>
    </row>
    <row r="3" spans="1:4" ht="14.25" customHeight="1">
      <c r="A3" s="429" t="s">
        <v>1919</v>
      </c>
      <c r="B3" s="500">
        <v>2018</v>
      </c>
      <c r="C3" s="382" t="s">
        <v>1920</v>
      </c>
      <c r="D3" s="572" t="s">
        <v>2002</v>
      </c>
    </row>
    <row r="4" spans="1:4" ht="14.25" customHeight="1">
      <c r="A4" s="382" t="s">
        <v>1977</v>
      </c>
      <c r="B4" s="572" t="s">
        <v>2169</v>
      </c>
      <c r="C4" s="382" t="s">
        <v>1922</v>
      </c>
      <c r="D4" s="572" t="s">
        <v>2170</v>
      </c>
    </row>
    <row r="5" spans="1:4" ht="14.25" customHeight="1">
      <c r="A5" s="382" t="s">
        <v>1912</v>
      </c>
      <c r="B5" s="572"/>
      <c r="C5" s="382" t="s">
        <v>1917</v>
      </c>
      <c r="D5" s="572"/>
    </row>
    <row r="6" spans="1:4" ht="14.25" customHeight="1">
      <c r="A6" s="382" t="s">
        <v>1913</v>
      </c>
      <c r="B6" s="572"/>
      <c r="C6" s="386" t="s">
        <v>1738</v>
      </c>
      <c r="D6" s="572" t="s">
        <v>2171</v>
      </c>
    </row>
    <row r="7" spans="1:4" ht="14.25" customHeight="1">
      <c r="A7" s="381" t="s">
        <v>1731</v>
      </c>
      <c r="B7" s="572"/>
      <c r="C7" s="381" t="s">
        <v>1739</v>
      </c>
      <c r="D7" s="572"/>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5"/>
  <sheetViews>
    <sheetView zoomScale="85" zoomScaleNormal="85" workbookViewId="0">
      <selection activeCell="B10" sqref="B10"/>
    </sheetView>
  </sheetViews>
  <sheetFormatPr defaultColWidth="34.36328125" defaultRowHeight="15.5"/>
  <cols>
    <col min="1" max="1" width="30" style="64" customWidth="1"/>
    <col min="2" max="3" width="20.6328125" style="69" customWidth="1"/>
    <col min="4" max="4" width="32" style="64" customWidth="1"/>
    <col min="5" max="6" width="20.6328125" style="70" customWidth="1"/>
    <col min="7" max="7" width="19.26953125" style="64" customWidth="1"/>
    <col min="8" max="8" width="11.36328125" style="64" customWidth="1"/>
    <col min="9" max="255" width="10.08984375" style="64" customWidth="1"/>
    <col min="256" max="16384" width="34.36328125" style="64"/>
  </cols>
  <sheetData>
    <row r="1" spans="1:7" s="340" customFormat="1" ht="29.15" customHeight="1">
      <c r="A1" s="665" t="s">
        <v>1662</v>
      </c>
      <c r="B1" s="665"/>
      <c r="C1" s="665"/>
      <c r="D1" s="665"/>
      <c r="E1" s="665"/>
      <c r="F1" s="665"/>
    </row>
    <row r="2" spans="1:7" s="294" customFormat="1" ht="14.25" customHeight="1">
      <c r="A2" s="666" t="str">
        <f>'02业务情况'!B3&amp;"年12月31日"</f>
        <v>2018年12月31日</v>
      </c>
      <c r="B2" s="666"/>
      <c r="C2" s="666"/>
      <c r="D2" s="666"/>
      <c r="E2" s="666"/>
      <c r="F2" s="666"/>
    </row>
    <row r="3" spans="1:7" s="294" customFormat="1" ht="14.25" customHeight="1">
      <c r="B3" s="54"/>
      <c r="C3" s="55"/>
      <c r="D3" s="56"/>
      <c r="E3" s="57"/>
      <c r="F3" s="58" t="s">
        <v>364</v>
      </c>
    </row>
    <row r="4" spans="1:7" s="294" customFormat="1" ht="14.25" customHeight="1">
      <c r="A4" s="531" t="str">
        <f>"编制单位："&amp;基础资料!D3</f>
        <v>编制单位：</v>
      </c>
      <c r="B4" s="55"/>
      <c r="C4" s="55"/>
      <c r="D4" s="667" t="s">
        <v>365</v>
      </c>
      <c r="E4" s="668"/>
      <c r="F4" s="668"/>
    </row>
    <row r="5" spans="1:7" s="294" customFormat="1" ht="14.25" customHeight="1">
      <c r="A5" s="66" t="s">
        <v>1528</v>
      </c>
      <c r="B5" s="59" t="s">
        <v>366</v>
      </c>
      <c r="C5" s="59" t="s">
        <v>367</v>
      </c>
      <c r="D5" s="60" t="s">
        <v>368</v>
      </c>
      <c r="E5" s="59" t="s">
        <v>366</v>
      </c>
      <c r="F5" s="59" t="s">
        <v>367</v>
      </c>
    </row>
    <row r="6" spans="1:7" s="294" customFormat="1" ht="14.25" customHeight="1">
      <c r="A6" s="61" t="s">
        <v>1529</v>
      </c>
      <c r="B6" s="451"/>
      <c r="C6" s="451"/>
      <c r="D6" s="61" t="s">
        <v>369</v>
      </c>
      <c r="E6" s="591"/>
      <c r="F6" s="592"/>
    </row>
    <row r="7" spans="1:7" s="295" customFormat="1" ht="14.25" customHeight="1">
      <c r="A7" s="62" t="s">
        <v>1521</v>
      </c>
      <c r="B7" s="759">
        <f>'01资产负债表'!C6</f>
        <v>0</v>
      </c>
      <c r="C7" s="759">
        <f>'01资产负债表'!D6</f>
        <v>0</v>
      </c>
      <c r="D7" s="62" t="s">
        <v>370</v>
      </c>
      <c r="E7" s="762">
        <f>'01资产负债表'!G6</f>
        <v>0</v>
      </c>
      <c r="F7" s="762">
        <f>'01资产负债表'!H6</f>
        <v>0</v>
      </c>
    </row>
    <row r="8" spans="1:7" s="295" customFormat="1" ht="14.25" customHeight="1">
      <c r="A8" s="62" t="s">
        <v>1522</v>
      </c>
      <c r="B8" s="759">
        <f>'01资产负债表'!C9</f>
        <v>0</v>
      </c>
      <c r="C8" s="759">
        <f>'01资产负债表'!D9</f>
        <v>0</v>
      </c>
      <c r="D8" s="62" t="s">
        <v>371</v>
      </c>
      <c r="E8" s="762">
        <f>'01资产负债表'!G11</f>
        <v>0</v>
      </c>
      <c r="F8" s="762">
        <f>'01资产负债表'!H11</f>
        <v>0</v>
      </c>
    </row>
    <row r="9" spans="1:7" s="295" customFormat="1" ht="14.25" customHeight="1">
      <c r="A9" s="62" t="s">
        <v>1523</v>
      </c>
      <c r="B9" s="759">
        <f>'01资产负债表'!C10</f>
        <v>0</v>
      </c>
      <c r="C9" s="759">
        <f>'01资产负债表'!D10</f>
        <v>0</v>
      </c>
      <c r="D9" s="62" t="s">
        <v>372</v>
      </c>
      <c r="E9" s="762">
        <f>'01资产负债表'!G12</f>
        <v>0</v>
      </c>
      <c r="F9" s="762">
        <f>'01资产负债表'!H12</f>
        <v>0</v>
      </c>
    </row>
    <row r="10" spans="1:7" s="295" customFormat="1" ht="14.25" customHeight="1">
      <c r="A10" s="62" t="s">
        <v>1530</v>
      </c>
      <c r="B10" s="759">
        <f>'01资产负债表'!C17</f>
        <v>0</v>
      </c>
      <c r="C10" s="759">
        <f>'01资产负债表'!D17</f>
        <v>0</v>
      </c>
      <c r="D10" s="62" t="s">
        <v>373</v>
      </c>
      <c r="E10" s="762">
        <f>'01资产负债表'!G13</f>
        <v>0</v>
      </c>
      <c r="F10" s="762">
        <f>'01资产负债表'!H13</f>
        <v>0</v>
      </c>
    </row>
    <row r="11" spans="1:7" s="295" customFormat="1" ht="14.25" customHeight="1">
      <c r="A11" s="62" t="s">
        <v>1531</v>
      </c>
      <c r="B11" s="759">
        <f>'01资产负债表'!C16</f>
        <v>0</v>
      </c>
      <c r="C11" s="759">
        <f>'01资产负债表'!D16</f>
        <v>0</v>
      </c>
      <c r="D11" s="62" t="s">
        <v>374</v>
      </c>
      <c r="E11" s="762">
        <f>'01资产负债表'!G17</f>
        <v>0</v>
      </c>
      <c r="F11" s="762">
        <f>'01资产负债表'!H17</f>
        <v>0</v>
      </c>
    </row>
    <row r="12" spans="1:7" s="295" customFormat="1" ht="14.25" customHeight="1">
      <c r="A12" s="62" t="s">
        <v>1524</v>
      </c>
      <c r="B12" s="759">
        <f>'01资产负债表'!C11</f>
        <v>0</v>
      </c>
      <c r="C12" s="759">
        <f>'01资产负债表'!D11</f>
        <v>0</v>
      </c>
      <c r="D12" s="62" t="s">
        <v>375</v>
      </c>
      <c r="E12" s="762">
        <f>'01资产负债表'!G18</f>
        <v>0</v>
      </c>
      <c r="F12" s="762">
        <f>'01资产负债表'!H18</f>
        <v>0</v>
      </c>
    </row>
    <row r="13" spans="1:7" s="295" customFormat="1" ht="14.25" customHeight="1">
      <c r="A13" s="62" t="s">
        <v>1532</v>
      </c>
      <c r="B13" s="759">
        <f>'01资产负债表'!C18</f>
        <v>0</v>
      </c>
      <c r="C13" s="759">
        <f>'01资产负债表'!D18</f>
        <v>0</v>
      </c>
      <c r="D13" s="62" t="s">
        <v>376</v>
      </c>
      <c r="E13" s="762">
        <f>'01资产负债表'!G23</f>
        <v>0</v>
      </c>
      <c r="F13" s="762">
        <f>'01资产负债表'!H23</f>
        <v>0</v>
      </c>
    </row>
    <row r="14" spans="1:7" s="295" customFormat="1" ht="14.25" customHeight="1">
      <c r="A14" s="293" t="s">
        <v>1525</v>
      </c>
      <c r="B14" s="759">
        <f>'01资产负债表'!C12</f>
        <v>0</v>
      </c>
      <c r="C14" s="759">
        <f>'01资产负债表'!D12</f>
        <v>0</v>
      </c>
      <c r="D14" s="62" t="s">
        <v>377</v>
      </c>
      <c r="E14" s="762">
        <f>'01资产负债表'!G21</f>
        <v>0</v>
      </c>
      <c r="F14" s="762">
        <f>'01资产负债表'!H21</f>
        <v>0</v>
      </c>
      <c r="G14" s="296"/>
    </row>
    <row r="15" spans="1:7" s="295" customFormat="1" ht="14.25" customHeight="1">
      <c r="A15" s="293" t="s">
        <v>1533</v>
      </c>
      <c r="B15" s="759"/>
      <c r="C15" s="760"/>
      <c r="D15" s="62" t="s">
        <v>378</v>
      </c>
      <c r="E15" s="762"/>
      <c r="F15" s="763"/>
      <c r="G15" s="297"/>
    </row>
    <row r="16" spans="1:7" s="295" customFormat="1" ht="14.25" customHeight="1">
      <c r="A16" s="62" t="s">
        <v>1534</v>
      </c>
      <c r="B16" s="759">
        <f>'01资产负债表'!C20</f>
        <v>0</v>
      </c>
      <c r="C16" s="759">
        <f>'01资产负债表'!D20</f>
        <v>0</v>
      </c>
      <c r="D16" s="62" t="s">
        <v>379</v>
      </c>
      <c r="E16" s="762">
        <f>'01资产负债表'!G24</f>
        <v>0</v>
      </c>
      <c r="F16" s="762">
        <f>'01资产负债表'!H24</f>
        <v>0</v>
      </c>
      <c r="G16" s="296"/>
    </row>
    <row r="17" spans="1:7" s="295" customFormat="1" ht="14.25" customHeight="1">
      <c r="A17" s="62" t="s">
        <v>1535</v>
      </c>
      <c r="B17" s="759"/>
      <c r="C17" s="760"/>
      <c r="D17" s="62" t="s">
        <v>380</v>
      </c>
      <c r="E17" s="762"/>
      <c r="F17" s="763"/>
      <c r="G17" s="298"/>
    </row>
    <row r="18" spans="1:7" s="295" customFormat="1" ht="14.25" customHeight="1">
      <c r="A18" s="62" t="s">
        <v>1536</v>
      </c>
      <c r="B18" s="759">
        <f>'01资产负债表'!C24</f>
        <v>0</v>
      </c>
      <c r="C18" s="760">
        <f>'01资产负债表'!D24</f>
        <v>0</v>
      </c>
      <c r="D18" s="62" t="s">
        <v>381</v>
      </c>
      <c r="E18" s="762">
        <f>'01资产负债表'!G38</f>
        <v>0</v>
      </c>
      <c r="F18" s="762">
        <f>'01资产负债表'!H38</f>
        <v>0</v>
      </c>
      <c r="G18" s="298"/>
    </row>
    <row r="19" spans="1:7" s="295" customFormat="1" ht="14.25" customHeight="1">
      <c r="A19" s="62" t="s">
        <v>1537</v>
      </c>
      <c r="B19" s="759">
        <f>'01资产负债表'!C25</f>
        <v>0</v>
      </c>
      <c r="C19" s="759">
        <f>'01资产负债表'!D25</f>
        <v>0</v>
      </c>
      <c r="D19" s="62" t="s">
        <v>382</v>
      </c>
      <c r="E19" s="762">
        <f>'01资产负债表'!G30</f>
        <v>0</v>
      </c>
      <c r="F19" s="762">
        <f>'01资产负债表'!H30</f>
        <v>0</v>
      </c>
      <c r="G19" s="299"/>
    </row>
    <row r="20" spans="1:7" s="295" customFormat="1" ht="14.25" customHeight="1">
      <c r="A20" s="66" t="s">
        <v>383</v>
      </c>
      <c r="B20" s="761">
        <f>SUM(B7:B19)</f>
        <v>0</v>
      </c>
      <c r="C20" s="761">
        <f>SUM(C7:C19)</f>
        <v>0</v>
      </c>
      <c r="D20" s="62" t="s">
        <v>384</v>
      </c>
      <c r="E20" s="762">
        <f>'01资产负债表'!G31</f>
        <v>0</v>
      </c>
      <c r="F20" s="762">
        <f>'01资产负债表'!H31</f>
        <v>0</v>
      </c>
      <c r="G20" s="299"/>
    </row>
    <row r="21" spans="1:7" s="295" customFormat="1" ht="14.25" customHeight="1">
      <c r="A21" s="61" t="s">
        <v>1538</v>
      </c>
      <c r="B21" s="759"/>
      <c r="C21" s="759"/>
      <c r="D21" s="66" t="s">
        <v>385</v>
      </c>
      <c r="E21" s="764">
        <f>SUM(E7:E20)</f>
        <v>0</v>
      </c>
      <c r="F21" s="764">
        <f>SUM(F7:F20)</f>
        <v>0</v>
      </c>
      <c r="G21" s="299"/>
    </row>
    <row r="22" spans="1:7" s="294" customFormat="1" ht="14.25" customHeight="1">
      <c r="A22" s="62" t="s">
        <v>1539</v>
      </c>
      <c r="B22" s="759">
        <f>'01资产负债表'!C32</f>
        <v>0</v>
      </c>
      <c r="C22" s="759">
        <f>'01资产负债表'!D32</f>
        <v>0</v>
      </c>
      <c r="D22" s="66"/>
      <c r="E22" s="764"/>
      <c r="F22" s="765"/>
      <c r="G22" s="300"/>
    </row>
    <row r="23" spans="1:7" s="295" customFormat="1" ht="14.25" customHeight="1">
      <c r="A23" s="62" t="s">
        <v>1540</v>
      </c>
      <c r="B23" s="759">
        <f>'01资产负债表'!C30</f>
        <v>0</v>
      </c>
      <c r="C23" s="759">
        <f>'01资产负债表'!D30</f>
        <v>0</v>
      </c>
      <c r="D23" s="61" t="s">
        <v>386</v>
      </c>
      <c r="E23" s="764"/>
      <c r="F23" s="765"/>
    </row>
    <row r="24" spans="1:7" s="295" customFormat="1" ht="14.25" customHeight="1">
      <c r="A24" s="66" t="s">
        <v>1541</v>
      </c>
      <c r="B24" s="761">
        <f>SUM(B22:B23)</f>
        <v>0</v>
      </c>
      <c r="C24" s="761">
        <f>SUM(C22:C23)</f>
        <v>0</v>
      </c>
      <c r="D24" s="62" t="s">
        <v>387</v>
      </c>
      <c r="E24" s="762">
        <f>'01资产负债表'!G34</f>
        <v>0</v>
      </c>
      <c r="F24" s="762">
        <f>'01资产负债表'!H34</f>
        <v>0</v>
      </c>
    </row>
    <row r="25" spans="1:7" s="295" customFormat="1" ht="14.25" customHeight="1">
      <c r="A25" s="61" t="s">
        <v>1542</v>
      </c>
      <c r="B25" s="759"/>
      <c r="C25" s="759"/>
      <c r="D25" s="62" t="s">
        <v>388</v>
      </c>
      <c r="E25" s="762">
        <f>'01资产负债表'!G35</f>
        <v>0</v>
      </c>
      <c r="F25" s="762">
        <f>'01资产负债表'!H35</f>
        <v>0</v>
      </c>
    </row>
    <row r="26" spans="1:7" s="295" customFormat="1" ht="14.25" customHeight="1">
      <c r="A26" s="62" t="s">
        <v>1526</v>
      </c>
      <c r="B26" s="759">
        <f>'01资产负债表'!C34</f>
        <v>0</v>
      </c>
      <c r="C26" s="759">
        <f>'01资产负债表'!D34</f>
        <v>0</v>
      </c>
      <c r="D26" s="62" t="s">
        <v>389</v>
      </c>
      <c r="E26" s="762">
        <f>'01资产负债表'!G36</f>
        <v>0</v>
      </c>
      <c r="F26" s="762">
        <f>'01资产负债表'!H36</f>
        <v>0</v>
      </c>
    </row>
    <row r="27" spans="1:7" s="295" customFormat="1" ht="14.25" customHeight="1">
      <c r="A27" s="62" t="s">
        <v>1543</v>
      </c>
      <c r="B27" s="759">
        <f>'01资产负债表'!C35</f>
        <v>0</v>
      </c>
      <c r="C27" s="759">
        <f>'01资产负债表'!D35</f>
        <v>0</v>
      </c>
      <c r="D27" s="62" t="s">
        <v>390</v>
      </c>
      <c r="E27" s="762">
        <f>'01资产负债表'!G37</f>
        <v>0</v>
      </c>
      <c r="F27" s="762">
        <f>'01资产负债表'!H37</f>
        <v>0</v>
      </c>
      <c r="G27" s="299"/>
    </row>
    <row r="28" spans="1:7" s="295" customFormat="1" ht="14.25" customHeight="1">
      <c r="A28" s="62" t="s">
        <v>1527</v>
      </c>
      <c r="B28" s="759">
        <f>B26-B27</f>
        <v>0</v>
      </c>
      <c r="C28" s="759">
        <f>C26-C27</f>
        <v>0</v>
      </c>
      <c r="D28" s="62" t="s">
        <v>391</v>
      </c>
      <c r="E28" s="762">
        <f>'01资产负债表'!G40</f>
        <v>0</v>
      </c>
      <c r="F28" s="762">
        <f>'01资产负债表'!H40</f>
        <v>0</v>
      </c>
      <c r="G28" s="299"/>
    </row>
    <row r="29" spans="1:7" s="295" customFormat="1" ht="14.25" customHeight="1">
      <c r="A29" s="62" t="s">
        <v>1544</v>
      </c>
      <c r="B29" s="759">
        <f>'01资产负债表'!C37</f>
        <v>0</v>
      </c>
      <c r="C29" s="759">
        <f>'01资产负债表'!D37</f>
        <v>0</v>
      </c>
      <c r="D29" s="67" t="s">
        <v>392</v>
      </c>
      <c r="E29" s="764">
        <f>SUM(E24:E28)</f>
        <v>0</v>
      </c>
      <c r="F29" s="764">
        <f>SUM(F24:F28)</f>
        <v>0</v>
      </c>
      <c r="G29" s="299"/>
    </row>
    <row r="30" spans="1:7" s="295" customFormat="1" ht="14.25" customHeight="1">
      <c r="A30" s="62" t="s">
        <v>1545</v>
      </c>
      <c r="B30" s="759">
        <f>B28-B29</f>
        <v>0</v>
      </c>
      <c r="C30" s="759">
        <f>C28-C29</f>
        <v>0</v>
      </c>
      <c r="D30" s="61" t="s">
        <v>393</v>
      </c>
      <c r="E30" s="762"/>
      <c r="F30" s="763"/>
      <c r="G30" s="301"/>
    </row>
    <row r="31" spans="1:7" s="295" customFormat="1" ht="14.25" customHeight="1">
      <c r="A31" s="62" t="s">
        <v>1546</v>
      </c>
      <c r="B31" s="759">
        <f>'01资产负债表'!C40</f>
        <v>0</v>
      </c>
      <c r="C31" s="759">
        <f>'01资产负债表'!D40</f>
        <v>0</v>
      </c>
      <c r="D31" s="62" t="s">
        <v>394</v>
      </c>
      <c r="E31" s="762">
        <f>'01资产负债表'!G39</f>
        <v>0</v>
      </c>
      <c r="F31" s="762">
        <f>'01资产负债表'!H39</f>
        <v>0</v>
      </c>
      <c r="G31" s="299"/>
    </row>
    <row r="32" spans="1:7" s="295" customFormat="1" ht="14.25" customHeight="1">
      <c r="A32" s="62" t="s">
        <v>1547</v>
      </c>
      <c r="B32" s="759">
        <f>'01资产负债表'!C39</f>
        <v>0</v>
      </c>
      <c r="C32" s="759">
        <f>'01资产负债表'!D39</f>
        <v>0</v>
      </c>
      <c r="D32" s="67" t="s">
        <v>395</v>
      </c>
      <c r="E32" s="764">
        <f>E21+E29+E31</f>
        <v>0</v>
      </c>
      <c r="F32" s="764">
        <f>F21+F29+F31</f>
        <v>0</v>
      </c>
    </row>
    <row r="33" spans="1:7" s="295" customFormat="1" ht="14.25" customHeight="1">
      <c r="A33" s="62" t="s">
        <v>1548</v>
      </c>
      <c r="B33" s="759">
        <f>'01资产负债表'!C41</f>
        <v>0</v>
      </c>
      <c r="C33" s="759">
        <f>'01资产负债表'!D41</f>
        <v>0</v>
      </c>
      <c r="D33" s="61"/>
      <c r="E33" s="762"/>
      <c r="F33" s="763"/>
    </row>
    <row r="34" spans="1:7" s="295" customFormat="1" ht="14.25" customHeight="1">
      <c r="A34" s="66" t="s">
        <v>396</v>
      </c>
      <c r="B34" s="761">
        <f>SUM(B30:B33)</f>
        <v>0</v>
      </c>
      <c r="C34" s="761">
        <f>SUM(C30:C33)</f>
        <v>0</v>
      </c>
      <c r="D34" s="61" t="s">
        <v>397</v>
      </c>
      <c r="E34" s="762"/>
      <c r="F34" s="763"/>
      <c r="G34" s="296"/>
    </row>
    <row r="35" spans="1:7" s="295" customFormat="1" ht="14.25" customHeight="1">
      <c r="A35" s="61" t="s">
        <v>1549</v>
      </c>
      <c r="B35" s="759"/>
      <c r="C35" s="759"/>
      <c r="D35" s="62" t="s">
        <v>398</v>
      </c>
      <c r="E35" s="762">
        <f>'01资产负债表'!G45</f>
        <v>0</v>
      </c>
      <c r="F35" s="762">
        <f>'01资产负债表'!H45</f>
        <v>0</v>
      </c>
    </row>
    <row r="36" spans="1:7" s="295" customFormat="1" ht="14.25" customHeight="1">
      <c r="A36" s="62" t="s">
        <v>1161</v>
      </c>
      <c r="B36" s="759">
        <f>'01资产负债表'!C44</f>
        <v>0</v>
      </c>
      <c r="C36" s="759">
        <f>'01资产负债表'!D44</f>
        <v>0</v>
      </c>
      <c r="D36" s="62" t="s">
        <v>399</v>
      </c>
      <c r="E36" s="762">
        <f>'01资产负债表'!G53</f>
        <v>0</v>
      </c>
      <c r="F36" s="762">
        <f>'01资产负债表'!H53</f>
        <v>0</v>
      </c>
      <c r="G36" s="296"/>
    </row>
    <row r="37" spans="1:7" s="295" customFormat="1" ht="14.25" customHeight="1">
      <c r="A37" s="62" t="s">
        <v>1550</v>
      </c>
      <c r="B37" s="759">
        <f>'01资产负债表'!C47</f>
        <v>0</v>
      </c>
      <c r="C37" s="759">
        <f>'01资产负债表'!D47</f>
        <v>0</v>
      </c>
      <c r="D37" s="62" t="s">
        <v>400</v>
      </c>
      <c r="E37" s="762">
        <f>E35-E36</f>
        <v>0</v>
      </c>
      <c r="F37" s="762">
        <f>F35-F36</f>
        <v>0</v>
      </c>
    </row>
    <row r="38" spans="1:7" s="295" customFormat="1" ht="14.25" customHeight="1">
      <c r="A38" s="62" t="s">
        <v>1551</v>
      </c>
      <c r="B38" s="759">
        <f>'01资产负债表'!C49</f>
        <v>0</v>
      </c>
      <c r="C38" s="759">
        <f>'01资产负债表'!D49</f>
        <v>0</v>
      </c>
      <c r="D38" s="62" t="s">
        <v>401</v>
      </c>
      <c r="E38" s="762">
        <f>'01资产负债表'!G55</f>
        <v>0</v>
      </c>
      <c r="F38" s="762">
        <f>'01资产负债表'!H55</f>
        <v>0</v>
      </c>
    </row>
    <row r="39" spans="1:7" s="295" customFormat="1" ht="14.25" customHeight="1">
      <c r="A39" s="66" t="s">
        <v>1552</v>
      </c>
      <c r="B39" s="761">
        <f>SUM(B36:B38)</f>
        <v>0</v>
      </c>
      <c r="C39" s="761">
        <f>SUM(C36:C38)</f>
        <v>0</v>
      </c>
      <c r="D39" s="62" t="s">
        <v>402</v>
      </c>
      <c r="E39" s="762">
        <f>'01资产负债表'!G59</f>
        <v>0</v>
      </c>
      <c r="F39" s="762">
        <f>'01资产负债表'!H59</f>
        <v>0</v>
      </c>
    </row>
    <row r="40" spans="1:7" s="295" customFormat="1" ht="14.25" customHeight="1">
      <c r="A40" s="66"/>
      <c r="B40" s="761"/>
      <c r="C40" s="761"/>
      <c r="D40" s="62" t="s">
        <v>403</v>
      </c>
      <c r="E40" s="762">
        <f>'01资产负债表'!G60</f>
        <v>0</v>
      </c>
      <c r="F40" s="762">
        <f>'01资产负债表'!H60</f>
        <v>0</v>
      </c>
    </row>
    <row r="41" spans="1:7" s="295" customFormat="1" ht="14.25" customHeight="1">
      <c r="A41" s="61" t="s">
        <v>1553</v>
      </c>
      <c r="B41" s="761"/>
      <c r="C41" s="759"/>
      <c r="D41" s="62" t="s">
        <v>404</v>
      </c>
      <c r="E41" s="762">
        <f>'01资产负债表'!G66</f>
        <v>0</v>
      </c>
      <c r="F41" s="762">
        <f>'01资产负债表'!H66</f>
        <v>0</v>
      </c>
    </row>
    <row r="42" spans="1:7" s="295" customFormat="1" ht="14.25" customHeight="1">
      <c r="A42" s="62" t="s">
        <v>1554</v>
      </c>
      <c r="B42" s="760">
        <f>'01资产负债表'!C48</f>
        <v>0</v>
      </c>
      <c r="C42" s="760">
        <f>'01资产负债表'!D48</f>
        <v>0</v>
      </c>
      <c r="D42" s="67" t="s">
        <v>405</v>
      </c>
      <c r="E42" s="764">
        <f>SUM(E37:E39,E41)</f>
        <v>0</v>
      </c>
      <c r="F42" s="764">
        <f>SUM(F37:F39,F41)</f>
        <v>0</v>
      </c>
    </row>
    <row r="43" spans="1:7" s="295" customFormat="1" ht="14.25" customHeight="1">
      <c r="A43" s="66" t="s">
        <v>406</v>
      </c>
      <c r="B43" s="761">
        <f>SUM(B20,B24,B34,B39,B42)</f>
        <v>0</v>
      </c>
      <c r="C43" s="761">
        <f>SUM(C20,C24,C34,C39,C42)</f>
        <v>0</v>
      </c>
      <c r="D43" s="67" t="s">
        <v>407</v>
      </c>
      <c r="E43" s="764">
        <f>E32+E42</f>
        <v>0</v>
      </c>
      <c r="F43" s="764">
        <f>F32+F42</f>
        <v>0</v>
      </c>
    </row>
    <row r="44" spans="1:7">
      <c r="A44" s="68"/>
    </row>
    <row r="45" spans="1:7">
      <c r="B45" s="71"/>
      <c r="C45" s="71"/>
      <c r="F45" s="71"/>
      <c r="G45" s="65"/>
    </row>
  </sheetData>
  <sheetProtection selectLockedCells="1"/>
  <mergeCells count="3">
    <mergeCell ref="A1:F1"/>
    <mergeCell ref="A2:F2"/>
    <mergeCell ref="D4:F4"/>
  </mergeCells>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33"/>
  <sheetViews>
    <sheetView topLeftCell="A19" zoomScaleNormal="100" workbookViewId="0">
      <selection activeCell="B6" sqref="B6:C24"/>
    </sheetView>
  </sheetViews>
  <sheetFormatPr defaultRowHeight="14"/>
  <cols>
    <col min="1" max="1" width="38.90625" customWidth="1"/>
    <col min="2" max="3" width="20.6328125" customWidth="1"/>
  </cols>
  <sheetData>
    <row r="1" spans="1:3" s="341" customFormat="1" ht="29.15" customHeight="1">
      <c r="A1" s="669" t="s">
        <v>1663</v>
      </c>
      <c r="B1" s="669"/>
      <c r="C1" s="669"/>
    </row>
    <row r="2" spans="1:3" s="87" customFormat="1" ht="14.25" customHeight="1">
      <c r="A2" s="670" t="str">
        <f>'02业务情况'!B3&amp;"年度"</f>
        <v>2018年度</v>
      </c>
      <c r="B2" s="671"/>
      <c r="C2" s="671"/>
    </row>
    <row r="3" spans="1:3" s="87" customFormat="1" ht="14.25" customHeight="1">
      <c r="A3" s="302"/>
      <c r="B3" s="303"/>
      <c r="C3" s="303" t="s">
        <v>408</v>
      </c>
    </row>
    <row r="4" spans="1:3" s="87" customFormat="1" ht="14.25" customHeight="1">
      <c r="A4" s="532"/>
      <c r="B4" s="672" t="s">
        <v>409</v>
      </c>
      <c r="C4" s="673"/>
    </row>
    <row r="5" spans="1:3" s="87" customFormat="1" ht="14.25" customHeight="1">
      <c r="A5" s="197" t="s">
        <v>410</v>
      </c>
      <c r="B5" s="254" t="s">
        <v>411</v>
      </c>
      <c r="C5" s="194" t="s">
        <v>412</v>
      </c>
    </row>
    <row r="6" spans="1:3" s="87" customFormat="1" ht="14.25" customHeight="1">
      <c r="A6" s="195" t="s">
        <v>413</v>
      </c>
      <c r="B6" s="766">
        <f>'01利润表'!D7</f>
        <v>0</v>
      </c>
      <c r="C6" s="766">
        <f>'01利润表'!C7</f>
        <v>0</v>
      </c>
    </row>
    <row r="7" spans="1:3" s="87" customFormat="1" ht="14.25" customHeight="1">
      <c r="A7" s="196" t="s">
        <v>414</v>
      </c>
      <c r="B7" s="767"/>
      <c r="C7" s="760"/>
    </row>
    <row r="8" spans="1:3" s="87" customFormat="1" ht="14.25" customHeight="1">
      <c r="A8" s="196" t="s">
        <v>415</v>
      </c>
      <c r="B8" s="767">
        <f>'01利润表'!D14</f>
        <v>0</v>
      </c>
      <c r="C8" s="767">
        <f>'01利润表'!C14</f>
        <v>0</v>
      </c>
    </row>
    <row r="9" spans="1:3" s="87" customFormat="1" ht="14.25" customHeight="1">
      <c r="A9" s="196" t="s">
        <v>416</v>
      </c>
      <c r="B9" s="767"/>
      <c r="C9" s="760"/>
    </row>
    <row r="10" spans="1:3" s="87" customFormat="1" ht="14.25" customHeight="1">
      <c r="A10" s="196" t="s">
        <v>417</v>
      </c>
      <c r="B10" s="767">
        <f>'01利润表'!D23</f>
        <v>0</v>
      </c>
      <c r="C10" s="767">
        <f>'01利润表'!C23</f>
        <v>0</v>
      </c>
    </row>
    <row r="11" spans="1:3" s="87" customFormat="1" ht="14.25" customHeight="1">
      <c r="A11" s="195" t="s">
        <v>418</v>
      </c>
      <c r="B11" s="766">
        <f>B6-B8-B10</f>
        <v>0</v>
      </c>
      <c r="C11" s="766">
        <f>C6-C8-C10</f>
        <v>0</v>
      </c>
    </row>
    <row r="12" spans="1:3" s="87" customFormat="1" ht="14.25" customHeight="1">
      <c r="A12" s="196" t="s">
        <v>419</v>
      </c>
      <c r="B12" s="767">
        <f>'01利润表'!D8-'01利润表'!D15</f>
        <v>0</v>
      </c>
      <c r="C12" s="760">
        <f>'01利润表'!C8-'01利润表'!C15</f>
        <v>0</v>
      </c>
    </row>
    <row r="13" spans="1:3" s="87" customFormat="1" ht="14.25" customHeight="1">
      <c r="A13" s="196" t="s">
        <v>420</v>
      </c>
      <c r="B13" s="767">
        <f>'01利润表'!D24</f>
        <v>0</v>
      </c>
      <c r="C13" s="760">
        <f>'01利润表'!C24</f>
        <v>0</v>
      </c>
    </row>
    <row r="14" spans="1:3" s="87" customFormat="1" ht="14.25" customHeight="1">
      <c r="A14" s="196" t="s">
        <v>421</v>
      </c>
      <c r="B14" s="767">
        <f>'01利润表'!D25</f>
        <v>0</v>
      </c>
      <c r="C14" s="760">
        <f>'01利润表'!C25</f>
        <v>0</v>
      </c>
    </row>
    <row r="15" spans="1:3" s="87" customFormat="1" ht="14.25" customHeight="1">
      <c r="A15" s="196" t="s">
        <v>422</v>
      </c>
      <c r="B15" s="767">
        <f>'01利润表'!D28</f>
        <v>0</v>
      </c>
      <c r="C15" s="760">
        <f>'01利润表'!C28</f>
        <v>0</v>
      </c>
    </row>
    <row r="16" spans="1:3" s="87" customFormat="1" ht="14.25" customHeight="1">
      <c r="A16" s="195" t="s">
        <v>423</v>
      </c>
      <c r="B16" s="766">
        <f>B11+B12-B13-B14-B15</f>
        <v>0</v>
      </c>
      <c r="C16" s="766">
        <f>C11+C12-C13-C14-C15</f>
        <v>0</v>
      </c>
    </row>
    <row r="17" spans="1:3" s="87" customFormat="1" ht="14.25" customHeight="1">
      <c r="A17" s="196" t="s">
        <v>424</v>
      </c>
      <c r="B17" s="767">
        <f>'01利润表'!H7</f>
        <v>0</v>
      </c>
      <c r="C17" s="760">
        <f>'01利润表'!G7</f>
        <v>0</v>
      </c>
    </row>
    <row r="18" spans="1:3" s="87" customFormat="1" ht="14.25" customHeight="1">
      <c r="A18" s="196" t="s">
        <v>425</v>
      </c>
      <c r="B18" s="767"/>
      <c r="C18" s="760"/>
    </row>
    <row r="19" spans="1:3" s="87" customFormat="1" ht="14.25" customHeight="1">
      <c r="A19" s="196" t="s">
        <v>426</v>
      </c>
      <c r="B19" s="767">
        <f>'01利润表'!H11</f>
        <v>0</v>
      </c>
      <c r="C19" s="760">
        <f>'01利润表'!G11</f>
        <v>0</v>
      </c>
    </row>
    <row r="20" spans="1:3" s="87" customFormat="1" ht="14.25" customHeight="1">
      <c r="A20" s="196" t="s">
        <v>427</v>
      </c>
      <c r="B20" s="767">
        <f>'01利润表'!H16</f>
        <v>0</v>
      </c>
      <c r="C20" s="760">
        <f>'01利润表'!G16</f>
        <v>0</v>
      </c>
    </row>
    <row r="21" spans="1:3" s="87" customFormat="1" ht="14.25" customHeight="1">
      <c r="A21" s="195" t="s">
        <v>428</v>
      </c>
      <c r="B21" s="766">
        <f>B16+B17+B18+B19-B20</f>
        <v>0</v>
      </c>
      <c r="C21" s="766">
        <f>C16+C17+C18+C19-C20</f>
        <v>0</v>
      </c>
    </row>
    <row r="22" spans="1:3" s="87" customFormat="1" ht="14.25" customHeight="1">
      <c r="A22" s="196" t="s">
        <v>429</v>
      </c>
      <c r="B22" s="767">
        <f>'01利润表'!H21</f>
        <v>0</v>
      </c>
      <c r="C22" s="760">
        <f>'01利润表'!G21</f>
        <v>0</v>
      </c>
    </row>
    <row r="23" spans="1:3" s="87" customFormat="1" ht="14.25" customHeight="1">
      <c r="A23" s="196" t="s">
        <v>430</v>
      </c>
      <c r="B23" s="767">
        <f>'01利润表'!H24</f>
        <v>0</v>
      </c>
      <c r="C23" s="760">
        <f>'01利润表'!G24</f>
        <v>0</v>
      </c>
    </row>
    <row r="24" spans="1:3" s="87" customFormat="1" ht="14.25" customHeight="1">
      <c r="A24" s="195" t="s">
        <v>431</v>
      </c>
      <c r="B24" s="766">
        <f>B21-B22-B23</f>
        <v>0</v>
      </c>
      <c r="C24" s="766">
        <f>C21-C22-C23</f>
        <v>0</v>
      </c>
    </row>
    <row r="25" spans="1:3" s="87" customFormat="1" ht="14.25" customHeight="1">
      <c r="A25" s="200"/>
      <c r="B25" s="304"/>
      <c r="C25" s="304"/>
    </row>
    <row r="26" spans="1:3" s="87" customFormat="1" ht="14.25" customHeight="1">
      <c r="A26" s="295" t="s">
        <v>432</v>
      </c>
      <c r="B26" s="305"/>
      <c r="C26" s="306"/>
    </row>
    <row r="27" spans="1:3" s="87" customFormat="1" ht="14.25" customHeight="1">
      <c r="A27" s="307" t="s">
        <v>433</v>
      </c>
      <c r="B27" s="63" t="s">
        <v>412</v>
      </c>
      <c r="C27" s="270" t="s">
        <v>434</v>
      </c>
    </row>
    <row r="28" spans="1:3" s="87" customFormat="1" ht="14.25" customHeight="1">
      <c r="A28" s="196" t="s">
        <v>435</v>
      </c>
      <c r="B28" s="452"/>
      <c r="C28" s="184"/>
    </row>
    <row r="29" spans="1:3" s="87" customFormat="1" ht="14.25" customHeight="1">
      <c r="A29" s="196" t="s">
        <v>436</v>
      </c>
      <c r="B29" s="452"/>
      <c r="C29" s="184"/>
    </row>
    <row r="30" spans="1:3" s="87" customFormat="1" ht="14.25" customHeight="1">
      <c r="A30" s="196" t="s">
        <v>437</v>
      </c>
      <c r="B30" s="452"/>
      <c r="C30" s="184"/>
    </row>
    <row r="31" spans="1:3" s="87" customFormat="1" ht="14.25" customHeight="1">
      <c r="A31" s="196" t="s">
        <v>438</v>
      </c>
      <c r="B31" s="452"/>
      <c r="C31" s="184"/>
    </row>
    <row r="32" spans="1:3" s="87" customFormat="1" ht="14.25" customHeight="1">
      <c r="A32" s="196" t="s">
        <v>439</v>
      </c>
      <c r="B32" s="452"/>
      <c r="C32" s="184"/>
    </row>
    <row r="33" spans="1:3" s="87" customFormat="1" ht="14.25" customHeight="1">
      <c r="A33" s="196" t="s">
        <v>440</v>
      </c>
      <c r="B33" s="452"/>
      <c r="C33" s="184"/>
    </row>
  </sheetData>
  <sheetProtection selectLockedCells="1"/>
  <mergeCells count="3">
    <mergeCell ref="A1:C1"/>
    <mergeCell ref="A2:C2"/>
    <mergeCell ref="B4:C4"/>
  </mergeCells>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41"/>
  <sheetViews>
    <sheetView workbookViewId="0">
      <selection activeCell="B7" sqref="B7"/>
    </sheetView>
  </sheetViews>
  <sheetFormatPr defaultColWidth="0" defaultRowHeight="15.5"/>
  <cols>
    <col min="1" max="1" width="51.36328125" style="72" customWidth="1"/>
    <col min="2" max="2" width="20.6328125" style="75" customWidth="1"/>
    <col min="3" max="3" width="56.36328125" style="72" customWidth="1"/>
    <col min="4" max="4" width="20.6328125" style="74" customWidth="1"/>
    <col min="5" max="5" width="14.26953125" style="72" bestFit="1" customWidth="1"/>
    <col min="6" max="255" width="9" style="72" customWidth="1"/>
    <col min="256" max="16384" width="0" style="72" hidden="1"/>
  </cols>
  <sheetData>
    <row r="1" spans="1:5" ht="29.15" customHeight="1">
      <c r="A1" s="674" t="s">
        <v>1664</v>
      </c>
      <c r="B1" s="675"/>
      <c r="C1" s="675"/>
      <c r="D1" s="675"/>
    </row>
    <row r="2" spans="1:5" s="308" customFormat="1" ht="14.25" customHeight="1">
      <c r="A2" s="676" t="str">
        <f>'02业务情况'!B3&amp;"年度"</f>
        <v>2018年度</v>
      </c>
      <c r="B2" s="677"/>
      <c r="C2" s="677"/>
      <c r="D2" s="677"/>
    </row>
    <row r="3" spans="1:5" s="308" customFormat="1" ht="14.25" customHeight="1">
      <c r="A3" s="309"/>
      <c r="B3" s="310"/>
      <c r="C3" s="311"/>
      <c r="D3" s="312" t="s">
        <v>441</v>
      </c>
      <c r="E3" s="313"/>
    </row>
    <row r="4" spans="1:5" s="308" customFormat="1" ht="14.25" customHeight="1">
      <c r="A4" s="533" t="str">
        <f>'02资产负债表'!A4</f>
        <v>编制单位：</v>
      </c>
      <c r="B4" s="309"/>
      <c r="C4" s="678" t="s">
        <v>442</v>
      </c>
      <c r="D4" s="679"/>
      <c r="E4" s="313"/>
    </row>
    <row r="5" spans="1:5" s="320" customFormat="1" ht="14.25" customHeight="1">
      <c r="A5" s="315" t="s">
        <v>443</v>
      </c>
      <c r="B5" s="316" t="s">
        <v>444</v>
      </c>
      <c r="C5" s="317" t="s">
        <v>443</v>
      </c>
      <c r="D5" s="318" t="s">
        <v>444</v>
      </c>
      <c r="E5" s="319"/>
    </row>
    <row r="6" spans="1:5" s="308" customFormat="1" ht="14.25" customHeight="1">
      <c r="A6" s="322" t="s">
        <v>1787</v>
      </c>
      <c r="B6" s="595"/>
      <c r="C6" s="323" t="s">
        <v>445</v>
      </c>
      <c r="D6" s="595"/>
      <c r="E6" s="324"/>
    </row>
    <row r="7" spans="1:5" s="308" customFormat="1" ht="14.25" customHeight="1">
      <c r="A7" s="325" t="s">
        <v>446</v>
      </c>
      <c r="B7" s="768">
        <f>'01现金流量表'!C6</f>
        <v>0</v>
      </c>
      <c r="C7" s="326" t="s">
        <v>447</v>
      </c>
      <c r="D7" s="595"/>
      <c r="E7" s="324"/>
    </row>
    <row r="8" spans="1:5" s="308" customFormat="1" ht="14.25" customHeight="1">
      <c r="A8" s="327" t="s">
        <v>448</v>
      </c>
      <c r="B8" s="768">
        <f>'01现金流量表'!C17</f>
        <v>0</v>
      </c>
      <c r="C8" s="326" t="s">
        <v>449</v>
      </c>
      <c r="D8" s="768">
        <f>'01利润表'!G22</f>
        <v>0</v>
      </c>
      <c r="E8" s="324"/>
    </row>
    <row r="9" spans="1:5" s="308" customFormat="1" ht="14.25" customHeight="1">
      <c r="A9" s="325" t="s">
        <v>450</v>
      </c>
      <c r="B9" s="768">
        <f>'01现金流量表'!C18</f>
        <v>0</v>
      </c>
      <c r="C9" s="326" t="s">
        <v>451</v>
      </c>
      <c r="D9" s="768"/>
      <c r="E9" s="328"/>
    </row>
    <row r="10" spans="1:5" s="308" customFormat="1" ht="14.25" customHeight="1">
      <c r="A10" s="315" t="s">
        <v>452</v>
      </c>
      <c r="B10" s="768">
        <f>SUM(B7:B9)</f>
        <v>0</v>
      </c>
      <c r="C10" s="326" t="s">
        <v>453</v>
      </c>
      <c r="D10" s="768"/>
      <c r="E10" s="324"/>
    </row>
    <row r="11" spans="1:5" s="308" customFormat="1" ht="14.25" customHeight="1">
      <c r="A11" s="325" t="s">
        <v>454</v>
      </c>
      <c r="B11" s="768">
        <f>'01现金流量表'!C20</f>
        <v>0</v>
      </c>
      <c r="C11" s="326" t="s">
        <v>455</v>
      </c>
      <c r="D11" s="768"/>
      <c r="E11" s="328"/>
    </row>
    <row r="12" spans="1:5" s="308" customFormat="1" ht="14.25" customHeight="1">
      <c r="A12" s="325" t="s">
        <v>456</v>
      </c>
      <c r="B12" s="768">
        <f>'01现金流量表'!C26</f>
        <v>0</v>
      </c>
      <c r="C12" s="326" t="s">
        <v>457</v>
      </c>
      <c r="D12" s="768"/>
      <c r="E12" s="328"/>
    </row>
    <row r="13" spans="1:5" s="308" customFormat="1" ht="14.25" customHeight="1">
      <c r="A13" s="325" t="s">
        <v>458</v>
      </c>
      <c r="B13" s="768">
        <f>'01现金流量表'!C27</f>
        <v>0</v>
      </c>
      <c r="C13" s="326" t="s">
        <v>459</v>
      </c>
      <c r="D13" s="768"/>
      <c r="E13" s="324"/>
    </row>
    <row r="14" spans="1:5" s="308" customFormat="1" ht="14.25" customHeight="1">
      <c r="A14" s="325" t="s">
        <v>460</v>
      </c>
      <c r="B14" s="768">
        <f>'01现金流量表'!C28</f>
        <v>0</v>
      </c>
      <c r="C14" s="326" t="s">
        <v>461</v>
      </c>
      <c r="D14" s="768"/>
      <c r="E14" s="324"/>
    </row>
    <row r="15" spans="1:5" s="308" customFormat="1" ht="14.25" customHeight="1">
      <c r="A15" s="315" t="s">
        <v>462</v>
      </c>
      <c r="B15" s="768">
        <f>SUM(B11:B14)</f>
        <v>0</v>
      </c>
      <c r="C15" s="326" t="s">
        <v>463</v>
      </c>
      <c r="D15" s="768"/>
      <c r="E15" s="321"/>
    </row>
    <row r="16" spans="1:5" s="308" customFormat="1" ht="14.25" customHeight="1">
      <c r="A16" s="315" t="s">
        <v>464</v>
      </c>
      <c r="B16" s="768">
        <f>B10-B15</f>
        <v>0</v>
      </c>
      <c r="C16" s="326" t="s">
        <v>465</v>
      </c>
      <c r="D16" s="768"/>
      <c r="E16" s="329"/>
    </row>
    <row r="17" spans="1:6" s="308" customFormat="1" ht="14.25" customHeight="1">
      <c r="A17" s="322" t="s">
        <v>466</v>
      </c>
      <c r="B17" s="768"/>
      <c r="C17" s="326" t="s">
        <v>467</v>
      </c>
      <c r="D17" s="768"/>
      <c r="E17" s="321"/>
      <c r="F17" s="330"/>
    </row>
    <row r="18" spans="1:6" s="308" customFormat="1" ht="14.25" customHeight="1">
      <c r="A18" s="325" t="s">
        <v>468</v>
      </c>
      <c r="B18" s="768">
        <f>'01现金流量表'!C32</f>
        <v>0</v>
      </c>
      <c r="C18" s="326" t="s">
        <v>469</v>
      </c>
      <c r="D18" s="768"/>
      <c r="E18" s="321"/>
    </row>
    <row r="19" spans="1:6" s="308" customFormat="1" ht="14.25" customHeight="1">
      <c r="A19" s="325" t="s">
        <v>470</v>
      </c>
      <c r="B19" s="768">
        <f>'01现金流量表'!C33</f>
        <v>0</v>
      </c>
      <c r="C19" s="326" t="s">
        <v>471</v>
      </c>
      <c r="D19" s="768"/>
      <c r="E19" s="321"/>
    </row>
    <row r="20" spans="1:6" s="308" customFormat="1" ht="14.25" customHeight="1">
      <c r="A20" s="325" t="s">
        <v>472</v>
      </c>
      <c r="B20" s="768">
        <f>'01现金流量表'!G5</f>
        <v>0</v>
      </c>
      <c r="C20" s="326" t="s">
        <v>473</v>
      </c>
      <c r="D20" s="768"/>
      <c r="E20" s="321"/>
    </row>
    <row r="21" spans="1:6" s="308" customFormat="1" ht="14.25" customHeight="1">
      <c r="A21" s="325" t="s">
        <v>474</v>
      </c>
      <c r="B21" s="768">
        <f>'01现金流量表'!G7</f>
        <v>0</v>
      </c>
      <c r="C21" s="326" t="s">
        <v>475</v>
      </c>
      <c r="D21" s="768"/>
      <c r="E21" s="321"/>
    </row>
    <row r="22" spans="1:6" s="308" customFormat="1" ht="14.25" customHeight="1">
      <c r="A22" s="315" t="s">
        <v>452</v>
      </c>
      <c r="B22" s="768">
        <f>SUM(B18:B21)</f>
        <v>0</v>
      </c>
      <c r="C22" s="326" t="s">
        <v>476</v>
      </c>
      <c r="D22" s="768"/>
      <c r="E22" s="321"/>
    </row>
    <row r="23" spans="1:6" s="308" customFormat="1" ht="14.25" customHeight="1">
      <c r="A23" s="325" t="s">
        <v>477</v>
      </c>
      <c r="B23" s="768">
        <f>'01现金流量表'!G9</f>
        <v>0</v>
      </c>
      <c r="C23" s="323" t="s">
        <v>478</v>
      </c>
      <c r="D23" s="768"/>
      <c r="E23" s="321"/>
    </row>
    <row r="24" spans="1:6" s="308" customFormat="1" ht="14.25" customHeight="1">
      <c r="A24" s="325" t="s">
        <v>479</v>
      </c>
      <c r="B24" s="768">
        <f>'01现金流量表'!G10</f>
        <v>0</v>
      </c>
      <c r="C24" s="331" t="s">
        <v>464</v>
      </c>
      <c r="D24" s="768">
        <f>SUM(D8:D23)</f>
        <v>0</v>
      </c>
      <c r="E24" s="332"/>
    </row>
    <row r="25" spans="1:6" s="308" customFormat="1" ht="14.25" customHeight="1">
      <c r="A25" s="325" t="s">
        <v>480</v>
      </c>
      <c r="B25" s="768">
        <f>'01现金流量表'!G13</f>
        <v>0</v>
      </c>
      <c r="C25" s="326"/>
      <c r="D25" s="596"/>
      <c r="E25" s="321"/>
    </row>
    <row r="26" spans="1:6" s="308" customFormat="1" ht="14.25" customHeight="1">
      <c r="A26" s="315" t="s">
        <v>462</v>
      </c>
      <c r="B26" s="768">
        <f>SUM(B23:B25)</f>
        <v>0</v>
      </c>
      <c r="C26" s="326"/>
      <c r="D26" s="596"/>
      <c r="E26" s="321"/>
    </row>
    <row r="27" spans="1:6" s="308" customFormat="1" ht="14.25" customHeight="1">
      <c r="A27" s="315" t="s">
        <v>481</v>
      </c>
      <c r="B27" s="768">
        <f>B22-B26</f>
        <v>0</v>
      </c>
      <c r="C27" s="326" t="s">
        <v>482</v>
      </c>
      <c r="D27" s="595"/>
      <c r="E27" s="321"/>
    </row>
    <row r="28" spans="1:6" s="308" customFormat="1" ht="14.25" customHeight="1">
      <c r="A28" s="322" t="s">
        <v>483</v>
      </c>
      <c r="B28" s="769"/>
      <c r="C28" s="326" t="s">
        <v>484</v>
      </c>
      <c r="D28" s="595"/>
      <c r="E28" s="321"/>
    </row>
    <row r="29" spans="1:6" s="308" customFormat="1" ht="14.25" customHeight="1">
      <c r="A29" s="325" t="s">
        <v>485</v>
      </c>
      <c r="B29" s="768">
        <f>'01现金流量表'!G17</f>
        <v>0</v>
      </c>
      <c r="C29" s="326" t="s">
        <v>486</v>
      </c>
      <c r="D29" s="595"/>
      <c r="E29" s="321"/>
    </row>
    <row r="30" spans="1:6" s="308" customFormat="1" ht="14.25" customHeight="1">
      <c r="A30" s="325" t="s">
        <v>487</v>
      </c>
      <c r="B30" s="768">
        <f>'01现金流量表'!G19</f>
        <v>0</v>
      </c>
      <c r="C30" s="326" t="s">
        <v>488</v>
      </c>
      <c r="D30" s="595"/>
      <c r="E30" s="321"/>
    </row>
    <row r="31" spans="1:6" s="308" customFormat="1" ht="14.25" customHeight="1">
      <c r="A31" s="325" t="s">
        <v>489</v>
      </c>
      <c r="B31" s="768">
        <f>'01现金流量表'!G21</f>
        <v>0</v>
      </c>
      <c r="C31" s="326"/>
      <c r="D31" s="595"/>
      <c r="E31" s="321"/>
    </row>
    <row r="32" spans="1:6" s="308" customFormat="1" ht="14.25" customHeight="1">
      <c r="A32" s="315" t="s">
        <v>452</v>
      </c>
      <c r="B32" s="768">
        <f>SUM(B29:B31)</f>
        <v>0</v>
      </c>
      <c r="C32" s="326"/>
      <c r="D32" s="595"/>
      <c r="E32" s="321"/>
    </row>
    <row r="33" spans="1:5" s="308" customFormat="1" ht="14.25" customHeight="1">
      <c r="A33" s="325" t="s">
        <v>490</v>
      </c>
      <c r="B33" s="768">
        <f>'01现金流量表'!G23</f>
        <v>0</v>
      </c>
      <c r="C33" s="326"/>
      <c r="D33" s="595"/>
      <c r="E33" s="321"/>
    </row>
    <row r="34" spans="1:5" s="308" customFormat="1" ht="14.25" customHeight="1">
      <c r="A34" s="325" t="s">
        <v>491</v>
      </c>
      <c r="B34" s="768">
        <f>'01现金流量表'!G24</f>
        <v>0</v>
      </c>
      <c r="C34" s="326" t="s">
        <v>492</v>
      </c>
      <c r="D34" s="595"/>
      <c r="E34" s="321"/>
    </row>
    <row r="35" spans="1:5" s="308" customFormat="1" ht="14.25" customHeight="1">
      <c r="A35" s="325" t="s">
        <v>493</v>
      </c>
      <c r="B35" s="768">
        <f>'01现金流量表'!G26</f>
        <v>0</v>
      </c>
      <c r="C35" s="326" t="s">
        <v>494</v>
      </c>
      <c r="D35" s="595">
        <f>'02资产负债表'!C7</f>
        <v>0</v>
      </c>
      <c r="E35" s="321"/>
    </row>
    <row r="36" spans="1:5" s="308" customFormat="1" ht="14.25" customHeight="1">
      <c r="A36" s="315" t="s">
        <v>462</v>
      </c>
      <c r="B36" s="768">
        <f>SUM(B33:B35)</f>
        <v>0</v>
      </c>
      <c r="C36" s="326" t="s">
        <v>495</v>
      </c>
      <c r="D36" s="595">
        <f>'02资产负债表'!B7</f>
        <v>0</v>
      </c>
      <c r="E36" s="321"/>
    </row>
    <row r="37" spans="1:5" s="308" customFormat="1" ht="14.25" customHeight="1">
      <c r="A37" s="315" t="s">
        <v>496</v>
      </c>
      <c r="B37" s="768">
        <f>B32-B36</f>
        <v>0</v>
      </c>
      <c r="C37" s="326" t="s">
        <v>497</v>
      </c>
      <c r="D37" s="595"/>
      <c r="E37" s="321"/>
    </row>
    <row r="38" spans="1:5" s="320" customFormat="1" ht="14.25" customHeight="1">
      <c r="A38" s="322" t="s">
        <v>498</v>
      </c>
      <c r="B38" s="768">
        <f>'01现金流量表'!G29</f>
        <v>0</v>
      </c>
      <c r="C38" s="326" t="s">
        <v>499</v>
      </c>
      <c r="D38" s="595"/>
      <c r="E38" s="314"/>
    </row>
    <row r="39" spans="1:5" s="320" customFormat="1" ht="14.25" customHeight="1">
      <c r="A39" s="322" t="s">
        <v>500</v>
      </c>
      <c r="B39" s="768">
        <f>B16+B27+B37+B38</f>
        <v>0</v>
      </c>
      <c r="C39" s="333" t="s">
        <v>501</v>
      </c>
      <c r="D39" s="595">
        <f>D35-D36+D37-D38</f>
        <v>0</v>
      </c>
      <c r="E39" s="334"/>
    </row>
    <row r="40" spans="1:5" s="320" customFormat="1" ht="14.25" customHeight="1">
      <c r="A40" s="335"/>
      <c r="B40" s="336"/>
      <c r="C40" s="314"/>
      <c r="D40" s="336"/>
    </row>
    <row r="41" spans="1:5">
      <c r="A41" s="73"/>
      <c r="B41" s="71"/>
      <c r="E41" s="64"/>
    </row>
  </sheetData>
  <sheetProtection selectLockedCells="1"/>
  <mergeCells count="3">
    <mergeCell ref="A1:D1"/>
    <mergeCell ref="A2:D2"/>
    <mergeCell ref="C4:D4"/>
  </mergeCells>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D7"/>
  <sheetViews>
    <sheetView workbookViewId="0">
      <selection activeCell="D6" sqref="D6"/>
    </sheetView>
  </sheetViews>
  <sheetFormatPr defaultColWidth="9" defaultRowHeight="14.25" customHeight="1"/>
  <cols>
    <col min="1" max="1" width="23.6328125" style="106" customWidth="1"/>
    <col min="2" max="2" width="21.90625" style="106" customWidth="1"/>
    <col min="3" max="3" width="25" style="106" customWidth="1"/>
    <col min="4" max="4" width="33.453125" style="106" customWidth="1"/>
    <col min="5" max="16384" width="9" style="106"/>
  </cols>
  <sheetData>
    <row r="1" spans="1:4" ht="14.25" customHeight="1">
      <c r="A1" s="657" t="s">
        <v>1678</v>
      </c>
      <c r="B1" s="657"/>
      <c r="C1" s="657"/>
      <c r="D1" s="658"/>
    </row>
    <row r="2" spans="1:4" ht="14.25" customHeight="1">
      <c r="A2" s="429" t="s">
        <v>1918</v>
      </c>
      <c r="B2" s="500" t="s">
        <v>2167</v>
      </c>
      <c r="C2" s="381" t="s">
        <v>1915</v>
      </c>
      <c r="D2" s="584" t="s">
        <v>2168</v>
      </c>
    </row>
    <row r="3" spans="1:4" ht="14.25" customHeight="1">
      <c r="A3" s="429" t="s">
        <v>1919</v>
      </c>
      <c r="B3" s="500">
        <v>2018</v>
      </c>
      <c r="C3" s="382" t="s">
        <v>1920</v>
      </c>
      <c r="D3" s="584" t="s">
        <v>1682</v>
      </c>
    </row>
    <row r="4" spans="1:4" ht="14.25" customHeight="1">
      <c r="A4" s="382" t="s">
        <v>1921</v>
      </c>
      <c r="B4" s="584" t="s">
        <v>2169</v>
      </c>
      <c r="C4" s="382" t="s">
        <v>1922</v>
      </c>
      <c r="D4" s="584" t="s">
        <v>2170</v>
      </c>
    </row>
    <row r="5" spans="1:4" ht="14.25" customHeight="1">
      <c r="A5" s="382" t="s">
        <v>1912</v>
      </c>
      <c r="B5" s="584"/>
      <c r="C5" s="382" t="s">
        <v>1917</v>
      </c>
      <c r="D5" s="584"/>
    </row>
    <row r="6" spans="1:4" ht="14.25" customHeight="1">
      <c r="A6" s="382" t="s">
        <v>1913</v>
      </c>
      <c r="B6" s="584"/>
      <c r="C6" s="386" t="s">
        <v>1738</v>
      </c>
      <c r="D6" s="584" t="s">
        <v>2171</v>
      </c>
    </row>
    <row r="7" spans="1:4" ht="14.25" customHeight="1">
      <c r="A7" s="381" t="s">
        <v>1731</v>
      </c>
      <c r="B7" s="584"/>
      <c r="C7" s="381" t="s">
        <v>1739</v>
      </c>
      <c r="D7" s="584"/>
    </row>
  </sheetData>
  <sheetProtection selectLockedCells="1"/>
  <mergeCells count="1">
    <mergeCell ref="A1:D1"/>
  </mergeCells>
  <phoneticPr fontId="1" type="noConversion"/>
  <dataValidations count="8">
    <dataValidation type="whole" operator="notEqual" allowBlank="1" showInputMessage="1" showErrorMessage="1" error="请输入整数" sqref="D5">
      <formula1>-99999</formula1>
    </dataValidation>
    <dataValidation type="whole" operator="notEqual" allowBlank="1" showInputMessage="1" showErrorMessage="1" error="请输入整数" sqref="B5">
      <formula1>-99999999</formula1>
    </dataValidation>
    <dataValidation type="list" allowBlank="1" showInputMessage="1" showErrorMessage="1" sqref="B4 D4">
      <formula1>"请选择,一月,二月,三月,四月,五月,六月,七月,八月,九月,十月,十一月,十二月"</formula1>
    </dataValidation>
    <dataValidation type="list" allowBlank="1" showInputMessage="1" showErrorMessage="1" sqref="D3">
      <formula1>"请选择,一季度,二季度,三季度,四季度"</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2">
      <formula1>"请选择,年度,季度,按月份"</formula1>
    </dataValidation>
    <dataValidation type="list" allowBlank="1" showInputMessage="1" showErrorMessage="1" sqref="B2">
      <formula1>"请选择,中央企业集团,上市公司,其它公司"</formula1>
    </dataValidation>
    <dataValidation type="list" allowBlank="1" showInputMessage="1" showErrorMessage="1" sqref="D6">
      <formula1>"请选择,无保留意见,保留意见,无保留意见带强调事项,否定意见,无法表示意见"</formula1>
    </dataValidation>
  </dataValidations>
  <pageMargins left="0.7" right="0.7" top="0.75" bottom="0.75" header="0.3" footer="0.3"/>
  <pageSetup paperSize="9" orientation="portrait" horizontalDpi="180" verticalDpi="18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46"/>
  <sheetViews>
    <sheetView workbookViewId="0">
      <selection activeCell="G6" sqref="G6:H36"/>
    </sheetView>
  </sheetViews>
  <sheetFormatPr defaultRowHeight="14"/>
  <cols>
    <col min="1" max="1" width="19.7265625" customWidth="1"/>
    <col min="2" max="2" width="5" style="76" bestFit="1" customWidth="1"/>
    <col min="3" max="4" width="20.6328125" style="76" customWidth="1"/>
    <col min="5" max="5" width="29.90625" customWidth="1"/>
    <col min="6" max="6" width="5" style="76" bestFit="1" customWidth="1"/>
    <col min="7" max="8" width="20.6328125" style="76" customWidth="1"/>
  </cols>
  <sheetData>
    <row r="1" spans="1:8" ht="29.15" customHeight="1">
      <c r="A1" s="680" t="s">
        <v>1665</v>
      </c>
      <c r="B1" s="680"/>
      <c r="C1" s="680"/>
      <c r="D1" s="680"/>
      <c r="E1" s="680"/>
      <c r="F1" s="680"/>
      <c r="G1" s="680"/>
      <c r="H1" s="680"/>
    </row>
    <row r="2" spans="1:8" s="106" customFormat="1" ht="14.25" customHeight="1">
      <c r="A2" s="87"/>
      <c r="B2" s="88"/>
      <c r="C2" s="166"/>
      <c r="D2" s="88"/>
      <c r="E2" s="166"/>
      <c r="F2" s="166"/>
      <c r="G2" s="88"/>
      <c r="H2" s="89" t="s">
        <v>502</v>
      </c>
    </row>
    <row r="3" spans="1:8" s="106" customFormat="1" ht="14.25" customHeight="1">
      <c r="A3" s="534" t="str">
        <f>"编制单位："&amp;基础资料!D3</f>
        <v>编制单位：</v>
      </c>
      <c r="B3" s="88"/>
      <c r="C3" s="166"/>
      <c r="D3" s="535" t="str">
        <f>'03业务情况'!B3&amp;"年12月31日"</f>
        <v>2018年12月31日</v>
      </c>
      <c r="E3" s="108"/>
      <c r="F3" s="88"/>
      <c r="G3" s="166"/>
      <c r="H3" s="89" t="s">
        <v>505</v>
      </c>
    </row>
    <row r="4" spans="1:8" s="106" customFormat="1" ht="14.25" customHeight="1">
      <c r="A4" s="78" t="s">
        <v>506</v>
      </c>
      <c r="B4" s="253" t="s">
        <v>507</v>
      </c>
      <c r="C4" s="253" t="s">
        <v>508</v>
      </c>
      <c r="D4" s="253" t="s">
        <v>509</v>
      </c>
      <c r="E4" s="78" t="s">
        <v>510</v>
      </c>
      <c r="F4" s="253" t="s">
        <v>507</v>
      </c>
      <c r="G4" s="253" t="s">
        <v>508</v>
      </c>
      <c r="H4" s="253" t="s">
        <v>509</v>
      </c>
    </row>
    <row r="5" spans="1:8" s="106" customFormat="1" ht="14.25" customHeight="1">
      <c r="A5" s="78" t="s">
        <v>1788</v>
      </c>
      <c r="B5" s="253"/>
      <c r="C5" s="573"/>
      <c r="D5" s="573"/>
      <c r="E5" s="78" t="s">
        <v>6</v>
      </c>
      <c r="F5" s="253"/>
      <c r="G5" s="573"/>
      <c r="H5" s="573"/>
    </row>
    <row r="6" spans="1:8" s="106" customFormat="1" ht="14.25" customHeight="1">
      <c r="A6" s="90" t="s">
        <v>512</v>
      </c>
      <c r="B6" s="255">
        <v>1</v>
      </c>
      <c r="C6" s="770">
        <f>'01资产负债表'!D6</f>
        <v>0</v>
      </c>
      <c r="D6" s="770">
        <f>'01资产负债表'!C6</f>
        <v>0</v>
      </c>
      <c r="E6" s="90" t="s">
        <v>513</v>
      </c>
      <c r="F6" s="255">
        <v>31</v>
      </c>
      <c r="G6" s="770">
        <f>'01资产负债表'!H6</f>
        <v>0</v>
      </c>
      <c r="H6" s="770">
        <f>'01资产负债表'!G6</f>
        <v>0</v>
      </c>
    </row>
    <row r="7" spans="1:8" s="106" customFormat="1" ht="14.25" customHeight="1">
      <c r="A7" s="90" t="s">
        <v>514</v>
      </c>
      <c r="B7" s="255">
        <v>2</v>
      </c>
      <c r="C7" s="770">
        <f>'01资产负债表'!D9</f>
        <v>0</v>
      </c>
      <c r="D7" s="770">
        <f>'01资产负债表'!C9</f>
        <v>0</v>
      </c>
      <c r="E7" s="90" t="s">
        <v>515</v>
      </c>
      <c r="F7" s="255">
        <v>32</v>
      </c>
      <c r="G7" s="770">
        <f>'01资产负债表'!H11</f>
        <v>0</v>
      </c>
      <c r="H7" s="770">
        <f>'01资产负债表'!G11</f>
        <v>0</v>
      </c>
    </row>
    <row r="8" spans="1:8" s="106" customFormat="1" ht="14.25" customHeight="1">
      <c r="A8" s="90" t="s">
        <v>516</v>
      </c>
      <c r="B8" s="255">
        <v>3</v>
      </c>
      <c r="C8" s="770">
        <f>'01资产负债表'!D10</f>
        <v>0</v>
      </c>
      <c r="D8" s="770">
        <f>'01资产负债表'!C10</f>
        <v>0</v>
      </c>
      <c r="E8" s="90" t="s">
        <v>517</v>
      </c>
      <c r="F8" s="255">
        <v>33</v>
      </c>
      <c r="G8" s="770">
        <f>'01资产负债表'!H12</f>
        <v>0</v>
      </c>
      <c r="H8" s="770">
        <f>'01资产负债表'!G12</f>
        <v>0</v>
      </c>
    </row>
    <row r="9" spans="1:8" s="106" customFormat="1" ht="14.25" customHeight="1">
      <c r="A9" s="90" t="s">
        <v>518</v>
      </c>
      <c r="B9" s="255">
        <v>4</v>
      </c>
      <c r="C9" s="770">
        <f>'01资产负债表'!D11</f>
        <v>0</v>
      </c>
      <c r="D9" s="770">
        <f>'01资产负债表'!C11</f>
        <v>0</v>
      </c>
      <c r="E9" s="110" t="s">
        <v>519</v>
      </c>
      <c r="F9" s="255">
        <v>34</v>
      </c>
      <c r="G9" s="770">
        <f>'01资产负债表'!H13</f>
        <v>0</v>
      </c>
      <c r="H9" s="770">
        <f>'01资产负债表'!G13</f>
        <v>0</v>
      </c>
    </row>
    <row r="10" spans="1:8" s="106" customFormat="1" ht="14.25" customHeight="1">
      <c r="A10" s="90" t="s">
        <v>520</v>
      </c>
      <c r="B10" s="255">
        <v>5</v>
      </c>
      <c r="C10" s="770">
        <f>'01资产负债表'!D12</f>
        <v>0</v>
      </c>
      <c r="D10" s="770">
        <f>'01资产负债表'!C12</f>
        <v>0</v>
      </c>
      <c r="E10" s="90" t="s">
        <v>521</v>
      </c>
      <c r="F10" s="255">
        <v>35</v>
      </c>
      <c r="G10" s="770">
        <f>'01资产负债表'!H16</f>
        <v>0</v>
      </c>
      <c r="H10" s="770">
        <f>'01资产负债表'!G16</f>
        <v>0</v>
      </c>
    </row>
    <row r="11" spans="1:8" s="106" customFormat="1" ht="14.25" customHeight="1">
      <c r="A11" s="90" t="s">
        <v>522</v>
      </c>
      <c r="B11" s="255">
        <v>6</v>
      </c>
      <c r="C11" s="770">
        <f>'01资产负债表'!D17</f>
        <v>0</v>
      </c>
      <c r="D11" s="770">
        <f>'01资产负债表'!C17</f>
        <v>0</v>
      </c>
      <c r="E11" s="90" t="s">
        <v>523</v>
      </c>
      <c r="F11" s="255">
        <v>36</v>
      </c>
      <c r="G11" s="770">
        <f>'01资产负债表'!H20</f>
        <v>0</v>
      </c>
      <c r="H11" s="770">
        <f>'01资产负债表'!G20</f>
        <v>0</v>
      </c>
    </row>
    <row r="12" spans="1:8" s="106" customFormat="1" ht="14.25" customHeight="1">
      <c r="A12" s="90" t="s">
        <v>524</v>
      </c>
      <c r="B12" s="255">
        <v>7</v>
      </c>
      <c r="C12" s="770">
        <f>'01资产负债表'!D16</f>
        <v>0</v>
      </c>
      <c r="D12" s="770">
        <f>'01资产负债表'!C16</f>
        <v>0</v>
      </c>
      <c r="E12" s="90" t="s">
        <v>525</v>
      </c>
      <c r="F12" s="255">
        <v>37</v>
      </c>
      <c r="G12" s="770">
        <f>'01资产负债表'!H22</f>
        <v>0</v>
      </c>
      <c r="H12" s="770">
        <f>'01资产负债表'!G22</f>
        <v>0</v>
      </c>
    </row>
    <row r="13" spans="1:8" s="106" customFormat="1" ht="14.25" customHeight="1">
      <c r="A13" s="110" t="s">
        <v>526</v>
      </c>
      <c r="B13" s="255">
        <v>8</v>
      </c>
      <c r="C13" s="770">
        <f>'01资产负债表'!D18</f>
        <v>0</v>
      </c>
      <c r="D13" s="770">
        <f>'01资产负债表'!C18</f>
        <v>0</v>
      </c>
      <c r="E13" s="90" t="s">
        <v>527</v>
      </c>
      <c r="F13" s="255">
        <v>38</v>
      </c>
      <c r="G13" s="770"/>
      <c r="H13" s="770"/>
    </row>
    <row r="14" spans="1:8" s="106" customFormat="1" ht="14.25" customHeight="1">
      <c r="A14" s="90" t="s">
        <v>528</v>
      </c>
      <c r="B14" s="255">
        <v>9</v>
      </c>
      <c r="C14" s="770">
        <f>SUM(C15:C18)</f>
        <v>0</v>
      </c>
      <c r="D14" s="770">
        <f>SUM(D15:D18)</f>
        <v>0</v>
      </c>
      <c r="E14" s="90" t="s">
        <v>529</v>
      </c>
      <c r="F14" s="255">
        <v>39</v>
      </c>
      <c r="G14" s="770">
        <f>'01资产负债表'!H24</f>
        <v>0</v>
      </c>
      <c r="H14" s="770">
        <f>'01资产负债表'!G24</f>
        <v>0</v>
      </c>
    </row>
    <row r="15" spans="1:8" s="106" customFormat="1" ht="14.25" customHeight="1">
      <c r="A15" s="90" t="s">
        <v>530</v>
      </c>
      <c r="B15" s="255">
        <v>10</v>
      </c>
      <c r="C15" s="770">
        <f>'01资产负债表'!D21</f>
        <v>0</v>
      </c>
      <c r="D15" s="770">
        <f>'01资产负债表'!C21</f>
        <v>0</v>
      </c>
      <c r="E15" s="110" t="s">
        <v>531</v>
      </c>
      <c r="F15" s="255">
        <v>40</v>
      </c>
      <c r="G15" s="770">
        <f>'01资产负债表'!H31</f>
        <v>0</v>
      </c>
      <c r="H15" s="770">
        <f>'01资产负债表'!G31</f>
        <v>0</v>
      </c>
    </row>
    <row r="16" spans="1:8" s="106" customFormat="1" ht="14.25" customHeight="1">
      <c r="A16" s="90" t="s">
        <v>532</v>
      </c>
      <c r="B16" s="255">
        <v>11</v>
      </c>
      <c r="C16" s="770"/>
      <c r="D16" s="770"/>
      <c r="E16" s="90" t="s">
        <v>533</v>
      </c>
      <c r="F16" s="255">
        <v>41</v>
      </c>
      <c r="G16" s="770">
        <f>SUM(G6:G15)</f>
        <v>0</v>
      </c>
      <c r="H16" s="770">
        <f>SUM(H6:H15)</f>
        <v>0</v>
      </c>
    </row>
    <row r="17" spans="1:8" s="106" customFormat="1" ht="14.25" customHeight="1">
      <c r="A17" s="90" t="s">
        <v>534</v>
      </c>
      <c r="B17" s="255">
        <v>12</v>
      </c>
      <c r="C17" s="770">
        <f>'01资产负债表'!D22</f>
        <v>0</v>
      </c>
      <c r="D17" s="770">
        <f>'01资产负债表'!C22</f>
        <v>0</v>
      </c>
      <c r="E17" s="78" t="s">
        <v>1789</v>
      </c>
      <c r="F17" s="255"/>
      <c r="G17" s="770"/>
      <c r="H17" s="770"/>
    </row>
    <row r="18" spans="1:8" s="106" customFormat="1" ht="14.25" customHeight="1">
      <c r="A18" s="90" t="s">
        <v>536</v>
      </c>
      <c r="B18" s="255">
        <v>13</v>
      </c>
      <c r="C18" s="770"/>
      <c r="D18" s="770"/>
      <c r="E18" s="90" t="s">
        <v>537</v>
      </c>
      <c r="F18" s="255">
        <v>42</v>
      </c>
      <c r="G18" s="770">
        <f>'01资产负债表'!H34</f>
        <v>0</v>
      </c>
      <c r="H18" s="770">
        <f>'01资产负债表'!G34</f>
        <v>0</v>
      </c>
    </row>
    <row r="19" spans="1:8" s="106" customFormat="1" ht="14.25" customHeight="1">
      <c r="A19" s="90" t="s">
        <v>538</v>
      </c>
      <c r="B19" s="255">
        <v>14</v>
      </c>
      <c r="C19" s="770">
        <f>'01资产负债表'!D25</f>
        <v>0</v>
      </c>
      <c r="D19" s="770">
        <f>'01资产负债表'!C25</f>
        <v>0</v>
      </c>
      <c r="E19" s="90" t="s">
        <v>539</v>
      </c>
      <c r="F19" s="255">
        <v>43</v>
      </c>
      <c r="G19" s="770">
        <f>'01资产负债表'!H36</f>
        <v>0</v>
      </c>
      <c r="H19" s="770">
        <f>'01资产负债表'!G36</f>
        <v>0</v>
      </c>
    </row>
    <row r="20" spans="1:8" s="106" customFormat="1" ht="14.25" customHeight="1">
      <c r="A20" s="90" t="s">
        <v>540</v>
      </c>
      <c r="B20" s="255">
        <v>15</v>
      </c>
      <c r="C20" s="770">
        <f>SUM(C6:C14,C19)</f>
        <v>0</v>
      </c>
      <c r="D20" s="770">
        <f>SUM(D6:D14,D19)</f>
        <v>0</v>
      </c>
      <c r="E20" s="90" t="s">
        <v>541</v>
      </c>
      <c r="F20" s="255">
        <v>44</v>
      </c>
      <c r="G20" s="770"/>
      <c r="H20" s="770"/>
    </row>
    <row r="21" spans="1:8" s="106" customFormat="1" ht="14.25" customHeight="1">
      <c r="A21" s="78" t="s">
        <v>1790</v>
      </c>
      <c r="B21" s="255"/>
      <c r="C21" s="770"/>
      <c r="D21" s="770"/>
      <c r="E21" s="110" t="s">
        <v>543</v>
      </c>
      <c r="F21" s="255">
        <v>45</v>
      </c>
      <c r="G21" s="770">
        <f>'01资产负债表'!H40</f>
        <v>0</v>
      </c>
      <c r="H21" s="770">
        <f>'01资产负债表'!G40</f>
        <v>0</v>
      </c>
    </row>
    <row r="22" spans="1:8" s="106" customFormat="1" ht="14.25" customHeight="1">
      <c r="A22" s="90" t="s">
        <v>544</v>
      </c>
      <c r="B22" s="255">
        <v>16</v>
      </c>
      <c r="C22" s="770">
        <f>'01资产负债表'!D30</f>
        <v>0</v>
      </c>
      <c r="D22" s="770">
        <f>'01资产负债表'!C30</f>
        <v>0</v>
      </c>
      <c r="E22" s="90" t="s">
        <v>545</v>
      </c>
      <c r="F22" s="255">
        <v>46</v>
      </c>
      <c r="G22" s="770">
        <f>SUM(G18:G21)</f>
        <v>0</v>
      </c>
      <c r="H22" s="770">
        <f>SUM(H18:H21)</f>
        <v>0</v>
      </c>
    </row>
    <row r="23" spans="1:8" s="106" customFormat="1" ht="14.25" customHeight="1">
      <c r="A23" s="90" t="s">
        <v>546</v>
      </c>
      <c r="B23" s="255">
        <v>17</v>
      </c>
      <c r="C23" s="770">
        <f>'01资产负债表'!D32</f>
        <v>0</v>
      </c>
      <c r="D23" s="770">
        <f>'01资产负债表'!C32</f>
        <v>0</v>
      </c>
      <c r="E23" s="78" t="s">
        <v>1791</v>
      </c>
      <c r="F23" s="255">
        <v>47</v>
      </c>
      <c r="G23" s="770">
        <f>G16+G22</f>
        <v>0</v>
      </c>
      <c r="H23" s="770">
        <f>H16+H22</f>
        <v>0</v>
      </c>
    </row>
    <row r="24" spans="1:8" s="106" customFormat="1" ht="14.25" customHeight="1">
      <c r="A24" s="90" t="s">
        <v>548</v>
      </c>
      <c r="B24" s="255">
        <v>18</v>
      </c>
      <c r="C24" s="770">
        <f>'01资产负债表'!D34</f>
        <v>0</v>
      </c>
      <c r="D24" s="770">
        <f>'01资产负债表'!C34</f>
        <v>0</v>
      </c>
      <c r="E24" s="78"/>
      <c r="F24" s="253"/>
      <c r="G24" s="770"/>
      <c r="H24" s="770"/>
    </row>
    <row r="25" spans="1:8" s="106" customFormat="1" ht="14.25" customHeight="1">
      <c r="A25" s="90" t="s">
        <v>549</v>
      </c>
      <c r="B25" s="255">
        <v>19</v>
      </c>
      <c r="C25" s="770">
        <f>'01资产负债表'!D35</f>
        <v>0</v>
      </c>
      <c r="D25" s="770">
        <f>'01资产负债表'!C35</f>
        <v>0</v>
      </c>
      <c r="E25" s="90"/>
      <c r="F25" s="255"/>
      <c r="G25" s="770"/>
      <c r="H25" s="770"/>
    </row>
    <row r="26" spans="1:8" s="106" customFormat="1" ht="14.25" customHeight="1">
      <c r="A26" s="90" t="s">
        <v>550</v>
      </c>
      <c r="B26" s="255">
        <v>20</v>
      </c>
      <c r="C26" s="770">
        <f>C24-C25</f>
        <v>0</v>
      </c>
      <c r="D26" s="770">
        <f>D24-D25</f>
        <v>0</v>
      </c>
      <c r="E26" s="90"/>
      <c r="F26" s="255"/>
      <c r="G26" s="770"/>
      <c r="H26" s="770"/>
    </row>
    <row r="27" spans="1:8" s="106" customFormat="1" ht="14.25" customHeight="1">
      <c r="A27" s="90" t="s">
        <v>551</v>
      </c>
      <c r="B27" s="255">
        <v>21</v>
      </c>
      <c r="C27" s="770">
        <f>'01资产负债表'!D39</f>
        <v>0</v>
      </c>
      <c r="D27" s="770">
        <f>'01资产负债表'!C39</f>
        <v>0</v>
      </c>
      <c r="E27" s="110"/>
      <c r="F27" s="337"/>
      <c r="G27" s="770"/>
      <c r="H27" s="770"/>
    </row>
    <row r="28" spans="1:8" s="106" customFormat="1" ht="14.25" customHeight="1">
      <c r="A28" s="90" t="s">
        <v>552</v>
      </c>
      <c r="B28" s="255">
        <v>22</v>
      </c>
      <c r="C28" s="770">
        <f>'01资产负债表'!D40</f>
        <v>0</v>
      </c>
      <c r="D28" s="770">
        <f>'01资产负债表'!C40</f>
        <v>0</v>
      </c>
      <c r="E28" s="90"/>
      <c r="F28" s="255"/>
      <c r="G28" s="770"/>
      <c r="H28" s="770"/>
    </row>
    <row r="29" spans="1:8" s="106" customFormat="1" ht="14.25" customHeight="1">
      <c r="A29" s="90" t="s">
        <v>553</v>
      </c>
      <c r="B29" s="255">
        <v>23</v>
      </c>
      <c r="C29" s="770">
        <f>'01资产负债表'!D41</f>
        <v>0</v>
      </c>
      <c r="D29" s="770">
        <f>'01资产负债表'!C41</f>
        <v>0</v>
      </c>
      <c r="E29" s="90"/>
      <c r="F29" s="255"/>
      <c r="G29" s="770"/>
      <c r="H29" s="770"/>
    </row>
    <row r="30" spans="1:8" s="106" customFormat="1" ht="14.25" customHeight="1">
      <c r="A30" s="90" t="s">
        <v>554</v>
      </c>
      <c r="B30" s="255">
        <v>24</v>
      </c>
      <c r="C30" s="770">
        <f>'01资产负债表'!D42</f>
        <v>0</v>
      </c>
      <c r="D30" s="770">
        <f>'01资产负债表'!C42</f>
        <v>0</v>
      </c>
      <c r="E30" s="90" t="s">
        <v>555</v>
      </c>
      <c r="F30" s="255"/>
      <c r="G30" s="770"/>
      <c r="H30" s="770"/>
    </row>
    <row r="31" spans="1:8" s="106" customFormat="1" ht="14.25" customHeight="1">
      <c r="A31" s="90" t="s">
        <v>556</v>
      </c>
      <c r="B31" s="255">
        <v>25</v>
      </c>
      <c r="C31" s="770">
        <f>'01资产负债表'!D44</f>
        <v>0</v>
      </c>
      <c r="D31" s="770">
        <f>'01资产负债表'!C44</f>
        <v>0</v>
      </c>
      <c r="E31" s="90" t="s">
        <v>557</v>
      </c>
      <c r="F31" s="255">
        <v>48</v>
      </c>
      <c r="G31" s="770">
        <f>'01资产负债表'!H54</f>
        <v>0</v>
      </c>
      <c r="H31" s="770">
        <f>'01资产负债表'!G54</f>
        <v>0</v>
      </c>
    </row>
    <row r="32" spans="1:8" s="106" customFormat="1" ht="14.25" customHeight="1">
      <c r="A32" s="90" t="s">
        <v>558</v>
      </c>
      <c r="B32" s="255">
        <v>26</v>
      </c>
      <c r="C32" s="770">
        <f>'01资产负债表'!D45</f>
        <v>0</v>
      </c>
      <c r="D32" s="770">
        <f>'01资产负债表'!C45</f>
        <v>0</v>
      </c>
      <c r="E32" s="90" t="s">
        <v>559</v>
      </c>
      <c r="F32" s="255">
        <v>49</v>
      </c>
      <c r="G32" s="770">
        <f>'01资产负债表'!H55</f>
        <v>0</v>
      </c>
      <c r="H32" s="770">
        <f>'01资产负债表'!G55</f>
        <v>0</v>
      </c>
    </row>
    <row r="33" spans="1:8" s="106" customFormat="1" ht="14.25" customHeight="1">
      <c r="A33" s="90" t="s">
        <v>560</v>
      </c>
      <c r="B33" s="255">
        <v>27</v>
      </c>
      <c r="C33" s="770">
        <f>'01资产负债表'!D47</f>
        <v>0</v>
      </c>
      <c r="D33" s="770">
        <f>'01资产负债表'!C47</f>
        <v>0</v>
      </c>
      <c r="E33" s="90" t="s">
        <v>561</v>
      </c>
      <c r="F33" s="255">
        <v>50</v>
      </c>
      <c r="G33" s="770">
        <f>'01资产负债表'!H59</f>
        <v>0</v>
      </c>
      <c r="H33" s="770">
        <f>'01资产负债表'!G59</f>
        <v>0</v>
      </c>
    </row>
    <row r="34" spans="1:8" s="106" customFormat="1" ht="14.25" customHeight="1">
      <c r="A34" s="90" t="s">
        <v>562</v>
      </c>
      <c r="B34" s="255">
        <v>28</v>
      </c>
      <c r="C34" s="770">
        <f>'01资产负债表'!D49</f>
        <v>0</v>
      </c>
      <c r="D34" s="770">
        <f>'01资产负债表'!C49</f>
        <v>0</v>
      </c>
      <c r="E34" s="90" t="s">
        <v>563</v>
      </c>
      <c r="F34" s="255">
        <v>51</v>
      </c>
      <c r="G34" s="770">
        <f>'01资产负债表'!H66</f>
        <v>0</v>
      </c>
      <c r="H34" s="770">
        <f>'01资产负债表'!G66</f>
        <v>0</v>
      </c>
    </row>
    <row r="35" spans="1:8" s="106" customFormat="1" ht="14.25" customHeight="1">
      <c r="A35" s="90" t="s">
        <v>564</v>
      </c>
      <c r="B35" s="255">
        <v>29</v>
      </c>
      <c r="C35" s="770">
        <f>SUM(C22:C23,C26,C27:C34)</f>
        <v>0</v>
      </c>
      <c r="D35" s="770">
        <f>SUM(D22:D23,D26,D27:D34)</f>
        <v>0</v>
      </c>
      <c r="E35" s="90" t="s">
        <v>565</v>
      </c>
      <c r="F35" s="255">
        <v>52</v>
      </c>
      <c r="G35" s="770">
        <f>SUM(G31:G34)</f>
        <v>0</v>
      </c>
      <c r="H35" s="770">
        <f>SUM(H31:H34)</f>
        <v>0</v>
      </c>
    </row>
    <row r="36" spans="1:8" s="106" customFormat="1" ht="14.25" customHeight="1">
      <c r="A36" s="90" t="s">
        <v>566</v>
      </c>
      <c r="B36" s="255">
        <v>30</v>
      </c>
      <c r="C36" s="770">
        <f>C20+C35</f>
        <v>0</v>
      </c>
      <c r="D36" s="770">
        <f>D20+D35</f>
        <v>0</v>
      </c>
      <c r="E36" s="90" t="s">
        <v>567</v>
      </c>
      <c r="F36" s="255">
        <v>53</v>
      </c>
      <c r="G36" s="770">
        <f>G23+G35</f>
        <v>0</v>
      </c>
      <c r="H36" s="770">
        <f>H23+H35</f>
        <v>0</v>
      </c>
    </row>
    <row r="37" spans="1:8">
      <c r="A37" s="80"/>
      <c r="B37" s="81"/>
      <c r="C37" s="81"/>
      <c r="D37" s="81"/>
    </row>
    <row r="38" spans="1:8">
      <c r="A38" s="82"/>
      <c r="B38" s="83"/>
      <c r="C38" s="83"/>
      <c r="D38" s="83"/>
    </row>
    <row r="39" spans="1:8">
      <c r="A39" s="82"/>
      <c r="B39" s="83"/>
      <c r="C39" s="83"/>
      <c r="D39" s="83"/>
    </row>
    <row r="40" spans="1:8">
      <c r="A40" s="82"/>
      <c r="B40" s="83"/>
      <c r="C40" s="83"/>
      <c r="D40" s="83"/>
    </row>
    <row r="41" spans="1:8">
      <c r="A41" s="82"/>
      <c r="B41" s="83"/>
      <c r="C41" s="83"/>
      <c r="D41" s="83"/>
    </row>
    <row r="42" spans="1:8">
      <c r="A42" s="82"/>
      <c r="B42" s="83"/>
      <c r="C42" s="83"/>
      <c r="D42" s="83"/>
    </row>
    <row r="43" spans="1:8">
      <c r="A43" s="82"/>
      <c r="B43" s="83"/>
      <c r="C43" s="83"/>
      <c r="D43" s="83"/>
    </row>
    <row r="44" spans="1:8">
      <c r="A44" s="82"/>
      <c r="B44" s="83"/>
      <c r="C44" s="83"/>
      <c r="D44" s="83"/>
    </row>
    <row r="45" spans="1:8">
      <c r="A45" s="82"/>
      <c r="B45" s="83"/>
      <c r="C45" s="83"/>
      <c r="D45" s="83"/>
    </row>
    <row r="46" spans="1:8">
      <c r="A46" s="82"/>
      <c r="B46" s="83"/>
      <c r="C46" s="83"/>
      <c r="D46" s="83"/>
    </row>
  </sheetData>
  <sheetProtection selectLockedCells="1"/>
  <mergeCells count="1">
    <mergeCell ref="A1:H1"/>
  </mergeCells>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36"/>
  <sheetViews>
    <sheetView topLeftCell="A19" workbookViewId="0">
      <selection activeCell="C43" sqref="C43"/>
    </sheetView>
  </sheetViews>
  <sheetFormatPr defaultRowHeight="14"/>
  <cols>
    <col min="1" max="1" width="43.36328125" customWidth="1"/>
    <col min="2" max="2" width="5" style="76" bestFit="1" customWidth="1"/>
    <col min="3" max="4" width="20.6328125" style="76" customWidth="1"/>
    <col min="5" max="5" width="21.90625" customWidth="1"/>
    <col min="8" max="11" width="28.36328125" customWidth="1"/>
  </cols>
  <sheetData>
    <row r="1" spans="1:11" s="341" customFormat="1" ht="29.15" customHeight="1">
      <c r="A1" s="680" t="s">
        <v>1666</v>
      </c>
      <c r="B1" s="680"/>
      <c r="C1" s="680"/>
      <c r="D1" s="680"/>
      <c r="E1" s="342"/>
      <c r="F1" s="342"/>
      <c r="G1" s="342"/>
      <c r="H1" s="342"/>
      <c r="I1" s="342"/>
      <c r="J1" s="342"/>
      <c r="K1" s="342"/>
    </row>
    <row r="2" spans="1:11" ht="14.25" customHeight="1">
      <c r="A2" s="87"/>
      <c r="B2" s="88"/>
      <c r="C2" s="88"/>
      <c r="D2" s="89" t="s">
        <v>568</v>
      </c>
    </row>
    <row r="3" spans="1:11" ht="14.25" customHeight="1">
      <c r="A3" s="534" t="str">
        <f>'03资产负债表'!A3</f>
        <v>编制单位：</v>
      </c>
      <c r="B3" s="88"/>
      <c r="C3" s="88"/>
      <c r="D3" s="89" t="s">
        <v>505</v>
      </c>
    </row>
    <row r="4" spans="1:11" ht="14.25" customHeight="1">
      <c r="A4" s="79" t="s">
        <v>569</v>
      </c>
      <c r="B4" s="79" t="s">
        <v>1792</v>
      </c>
      <c r="C4" s="79" t="s">
        <v>570</v>
      </c>
      <c r="D4" s="86" t="s">
        <v>571</v>
      </c>
    </row>
    <row r="5" spans="1:11" ht="14.25" customHeight="1">
      <c r="A5" s="90" t="s">
        <v>572</v>
      </c>
      <c r="B5" s="91">
        <v>1</v>
      </c>
      <c r="C5" s="770">
        <f>'01利润表'!C6</f>
        <v>0</v>
      </c>
      <c r="D5" s="770">
        <f>'01利润表'!D6</f>
        <v>0</v>
      </c>
    </row>
    <row r="6" spans="1:11" ht="14.25" customHeight="1">
      <c r="A6" s="90" t="s">
        <v>573</v>
      </c>
      <c r="B6" s="91">
        <v>2</v>
      </c>
      <c r="C6" s="770">
        <f>'01利润表'!C13</f>
        <v>0</v>
      </c>
      <c r="D6" s="770">
        <f>'01利润表'!D13</f>
        <v>0</v>
      </c>
    </row>
    <row r="7" spans="1:11" ht="14.25" customHeight="1">
      <c r="A7" s="90" t="s">
        <v>574</v>
      </c>
      <c r="B7" s="91">
        <v>3</v>
      </c>
      <c r="C7" s="770">
        <f>'01利润表'!C23</f>
        <v>0</v>
      </c>
      <c r="D7" s="770">
        <f>'01利润表'!D23</f>
        <v>0</v>
      </c>
    </row>
    <row r="8" spans="1:11" ht="14.25" customHeight="1">
      <c r="A8" s="90" t="s">
        <v>575</v>
      </c>
      <c r="B8" s="91">
        <v>4</v>
      </c>
      <c r="C8" s="770"/>
      <c r="D8" s="770"/>
    </row>
    <row r="9" spans="1:11" ht="14.25" customHeight="1">
      <c r="A9" s="90" t="s">
        <v>576</v>
      </c>
      <c r="B9" s="91">
        <v>5</v>
      </c>
      <c r="C9" s="770"/>
      <c r="D9" s="770"/>
    </row>
    <row r="10" spans="1:11" ht="14.25" customHeight="1">
      <c r="A10" s="90" t="s">
        <v>577</v>
      </c>
      <c r="B10" s="91">
        <v>6</v>
      </c>
      <c r="C10" s="770"/>
      <c r="D10" s="770"/>
    </row>
    <row r="11" spans="1:11" ht="14.25" customHeight="1">
      <c r="A11" s="90" t="s">
        <v>578</v>
      </c>
      <c r="B11" s="91">
        <v>7</v>
      </c>
      <c r="C11" s="770"/>
      <c r="D11" s="770"/>
    </row>
    <row r="12" spans="1:11" ht="14.25" customHeight="1">
      <c r="A12" s="90" t="s">
        <v>579</v>
      </c>
      <c r="B12" s="91">
        <v>8</v>
      </c>
      <c r="C12" s="770"/>
      <c r="D12" s="770"/>
    </row>
    <row r="13" spans="1:11" ht="14.25" customHeight="1">
      <c r="A13" s="90" t="s">
        <v>580</v>
      </c>
      <c r="B13" s="91">
        <v>9</v>
      </c>
      <c r="C13" s="770"/>
      <c r="D13" s="770"/>
    </row>
    <row r="14" spans="1:11" ht="14.25" customHeight="1">
      <c r="A14" s="90" t="s">
        <v>581</v>
      </c>
      <c r="B14" s="91">
        <v>10</v>
      </c>
      <c r="C14" s="770"/>
      <c r="D14" s="770"/>
    </row>
    <row r="15" spans="1:11" ht="14.25" customHeight="1">
      <c r="A15" s="90" t="s">
        <v>582</v>
      </c>
      <c r="B15" s="91">
        <v>11</v>
      </c>
      <c r="C15" s="770">
        <f>'01利润表'!C24</f>
        <v>0</v>
      </c>
      <c r="D15" s="770">
        <f>'01利润表'!D24</f>
        <v>0</v>
      </c>
    </row>
    <row r="16" spans="1:11" ht="14.25" customHeight="1">
      <c r="A16" s="90" t="s">
        <v>583</v>
      </c>
      <c r="B16" s="91">
        <v>12</v>
      </c>
      <c r="C16" s="770"/>
      <c r="D16" s="770"/>
    </row>
    <row r="17" spans="1:4" ht="14.25" customHeight="1">
      <c r="A17" s="90" t="s">
        <v>584</v>
      </c>
      <c r="B17" s="91">
        <v>13</v>
      </c>
      <c r="C17" s="770"/>
      <c r="D17" s="770"/>
    </row>
    <row r="18" spans="1:4" ht="14.25" customHeight="1">
      <c r="A18" s="90" t="s">
        <v>585</v>
      </c>
      <c r="B18" s="91">
        <v>14</v>
      </c>
      <c r="C18" s="770">
        <f>'01利润表'!C25</f>
        <v>0</v>
      </c>
      <c r="D18" s="770">
        <f>'01利润表'!D25</f>
        <v>0</v>
      </c>
    </row>
    <row r="19" spans="1:4" ht="14.25" customHeight="1">
      <c r="A19" s="90" t="s">
        <v>586</v>
      </c>
      <c r="B19" s="91">
        <v>15</v>
      </c>
      <c r="C19" s="770"/>
      <c r="D19" s="770"/>
    </row>
    <row r="20" spans="1:4" ht="14.25" customHeight="1">
      <c r="A20" s="90" t="s">
        <v>587</v>
      </c>
      <c r="B20" s="91">
        <v>16</v>
      </c>
      <c r="C20" s="770">
        <f>'01利润表'!C26</f>
        <v>0</v>
      </c>
      <c r="D20" s="770">
        <f>'01利润表'!D26</f>
        <v>0</v>
      </c>
    </row>
    <row r="21" spans="1:4" ht="14.25" customHeight="1">
      <c r="A21" s="90" t="s">
        <v>588</v>
      </c>
      <c r="B21" s="91">
        <v>17</v>
      </c>
      <c r="C21" s="770">
        <f>'01利润表'!C27</f>
        <v>0</v>
      </c>
      <c r="D21" s="770">
        <f>'01利润表'!D27</f>
        <v>0</v>
      </c>
    </row>
    <row r="22" spans="1:4" ht="14.25" customHeight="1">
      <c r="A22" s="90" t="s">
        <v>589</v>
      </c>
      <c r="B22" s="91">
        <v>18</v>
      </c>
      <c r="C22" s="770">
        <f>'01利润表'!C28</f>
        <v>0</v>
      </c>
      <c r="D22" s="770">
        <f>'01利润表'!D28</f>
        <v>0</v>
      </c>
    </row>
    <row r="23" spans="1:4" ht="14.25" customHeight="1">
      <c r="A23" s="90" t="s">
        <v>590</v>
      </c>
      <c r="B23" s="91">
        <v>19</v>
      </c>
      <c r="C23" s="770"/>
      <c r="D23" s="770"/>
    </row>
    <row r="24" spans="1:4" ht="14.25" customHeight="1">
      <c r="A24" s="90" t="s">
        <v>591</v>
      </c>
      <c r="B24" s="91">
        <v>20</v>
      </c>
      <c r="C24" s="770">
        <f>'01利润表'!G7</f>
        <v>0</v>
      </c>
      <c r="D24" s="770">
        <f>'01利润表'!H7</f>
        <v>0</v>
      </c>
    </row>
    <row r="25" spans="1:4" ht="14.25" customHeight="1">
      <c r="A25" s="90" t="s">
        <v>592</v>
      </c>
      <c r="B25" s="91">
        <v>21</v>
      </c>
      <c r="C25" s="770">
        <f>SUM(C5,-C6,-C7,-C15,-C18,-C22,C24)</f>
        <v>0</v>
      </c>
      <c r="D25" s="770">
        <f>SUM(D5,-D6,-D7,-D15,-D18,-D22,D24)</f>
        <v>0</v>
      </c>
    </row>
    <row r="26" spans="1:4" ht="14.25" customHeight="1">
      <c r="A26" s="90" t="s">
        <v>593</v>
      </c>
      <c r="B26" s="91">
        <v>22</v>
      </c>
      <c r="C26" s="770">
        <f>'01利润表'!G11</f>
        <v>0</v>
      </c>
      <c r="D26" s="770">
        <f>'01利润表'!H11</f>
        <v>0</v>
      </c>
    </row>
    <row r="27" spans="1:4" ht="14.25" customHeight="1">
      <c r="A27" s="90" t="s">
        <v>594</v>
      </c>
      <c r="B27" s="91">
        <v>23</v>
      </c>
      <c r="C27" s="770">
        <f>'01利润表'!G14</f>
        <v>0</v>
      </c>
      <c r="D27" s="770">
        <f>'01利润表'!H14</f>
        <v>0</v>
      </c>
    </row>
    <row r="28" spans="1:4" ht="14.25" customHeight="1">
      <c r="A28" s="92" t="s">
        <v>595</v>
      </c>
      <c r="B28" s="91">
        <v>24</v>
      </c>
      <c r="C28" s="770">
        <f>'01利润表'!G16</f>
        <v>0</v>
      </c>
      <c r="D28" s="770">
        <f>'01利润表'!H16</f>
        <v>0</v>
      </c>
    </row>
    <row r="29" spans="1:4" ht="14.25" customHeight="1">
      <c r="A29" s="92" t="s">
        <v>596</v>
      </c>
      <c r="B29" s="91">
        <v>25</v>
      </c>
      <c r="C29" s="770"/>
      <c r="D29" s="770"/>
    </row>
    <row r="30" spans="1:4" ht="14.25" customHeight="1">
      <c r="A30" s="92" t="s">
        <v>597</v>
      </c>
      <c r="B30" s="91">
        <v>26</v>
      </c>
      <c r="C30" s="770"/>
      <c r="D30" s="770"/>
    </row>
    <row r="31" spans="1:4" ht="14.25" customHeight="1">
      <c r="A31" s="92" t="s">
        <v>598</v>
      </c>
      <c r="B31" s="91">
        <v>27</v>
      </c>
      <c r="C31" s="770"/>
      <c r="D31" s="770"/>
    </row>
    <row r="32" spans="1:4" ht="14.25" customHeight="1">
      <c r="A32" s="92" t="s">
        <v>599</v>
      </c>
      <c r="B32" s="91">
        <v>28</v>
      </c>
      <c r="C32" s="770"/>
      <c r="D32" s="770"/>
    </row>
    <row r="33" spans="1:4" ht="14.25" customHeight="1">
      <c r="A33" s="92" t="s">
        <v>600</v>
      </c>
      <c r="B33" s="91">
        <v>29</v>
      </c>
      <c r="C33" s="770"/>
      <c r="D33" s="770"/>
    </row>
    <row r="34" spans="1:4" ht="14.25" customHeight="1">
      <c r="A34" s="92" t="s">
        <v>601</v>
      </c>
      <c r="B34" s="91">
        <v>30</v>
      </c>
      <c r="C34" s="770">
        <f>SUM(C25,C26,-C28)</f>
        <v>0</v>
      </c>
      <c r="D34" s="770">
        <f>SUM(D25,D26,-D28)</f>
        <v>0</v>
      </c>
    </row>
    <row r="35" spans="1:4" ht="14.25" customHeight="1">
      <c r="A35" s="92" t="s">
        <v>602</v>
      </c>
      <c r="B35" s="91">
        <v>31</v>
      </c>
      <c r="C35" s="770">
        <f>'01利润表'!G21</f>
        <v>0</v>
      </c>
      <c r="D35" s="770">
        <f>'01利润表'!H21</f>
        <v>0</v>
      </c>
    </row>
    <row r="36" spans="1:4" ht="14.25" customHeight="1">
      <c r="A36" s="92" t="s">
        <v>603</v>
      </c>
      <c r="B36" s="91">
        <v>32</v>
      </c>
      <c r="C36" s="770">
        <f>C34-C35</f>
        <v>0</v>
      </c>
      <c r="D36" s="770">
        <f>D34-D35</f>
        <v>0</v>
      </c>
    </row>
  </sheetData>
  <sheetProtection selectLockedCells="1"/>
  <mergeCells count="1">
    <mergeCell ref="A1:D1"/>
  </mergeCells>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45"/>
  <sheetViews>
    <sheetView topLeftCell="A22" workbookViewId="0">
      <selection activeCell="C6" sqref="C6:D29"/>
    </sheetView>
  </sheetViews>
  <sheetFormatPr defaultColWidth="9" defaultRowHeight="13"/>
  <cols>
    <col min="1" max="1" width="49.6328125" style="93" bestFit="1" customWidth="1"/>
    <col min="2" max="2" width="8.08984375" style="99" customWidth="1"/>
    <col min="3" max="4" width="20.6328125" style="93" customWidth="1"/>
    <col min="5" max="16384" width="9" style="93"/>
  </cols>
  <sheetData>
    <row r="1" spans="1:4" ht="29.15" customHeight="1">
      <c r="A1" s="681" t="s">
        <v>1667</v>
      </c>
      <c r="B1" s="681"/>
      <c r="C1" s="681"/>
      <c r="D1" s="681"/>
    </row>
    <row r="2" spans="1:4" ht="14.25" customHeight="1">
      <c r="A2" s="113"/>
      <c r="B2" s="265"/>
      <c r="C2" s="266"/>
      <c r="D2" s="115" t="s">
        <v>1477</v>
      </c>
    </row>
    <row r="3" spans="1:4" ht="14.25" customHeight="1">
      <c r="A3" s="536" t="str">
        <f>'03资产负债表'!A3</f>
        <v>编制单位：</v>
      </c>
      <c r="B3" s="537" t="str">
        <f>'03业务情况'!B3&amp;"年"</f>
        <v>2018年</v>
      </c>
      <c r="C3" s="266"/>
      <c r="D3" s="116" t="s">
        <v>604</v>
      </c>
    </row>
    <row r="4" spans="1:4" ht="14.25" customHeight="1">
      <c r="A4" s="122" t="s">
        <v>605</v>
      </c>
      <c r="B4" s="267" t="s">
        <v>507</v>
      </c>
      <c r="C4" s="122" t="s">
        <v>570</v>
      </c>
      <c r="D4" s="122" t="s">
        <v>606</v>
      </c>
    </row>
    <row r="5" spans="1:4" ht="14.25" customHeight="1">
      <c r="A5" s="119" t="s">
        <v>607</v>
      </c>
      <c r="B5" s="268"/>
      <c r="C5" s="597"/>
      <c r="D5" s="597"/>
    </row>
    <row r="6" spans="1:4" ht="14.25" customHeight="1">
      <c r="A6" s="121" t="s">
        <v>1478</v>
      </c>
      <c r="B6" s="269">
        <v>1</v>
      </c>
      <c r="C6" s="771">
        <f>'01现金流量表'!C6</f>
        <v>0</v>
      </c>
      <c r="D6" s="771"/>
    </row>
    <row r="7" spans="1:4" ht="14.25" customHeight="1">
      <c r="A7" s="266" t="s">
        <v>1479</v>
      </c>
      <c r="B7" s="269">
        <v>2</v>
      </c>
      <c r="C7" s="771">
        <f>'01现金流量表'!C18</f>
        <v>0</v>
      </c>
      <c r="D7" s="771"/>
    </row>
    <row r="8" spans="1:4" ht="14.25" customHeight="1">
      <c r="A8" s="121" t="s">
        <v>1480</v>
      </c>
      <c r="B8" s="269">
        <v>3</v>
      </c>
      <c r="C8" s="771">
        <f>'01现金流量表'!C20</f>
        <v>0</v>
      </c>
      <c r="D8" s="771"/>
    </row>
    <row r="9" spans="1:4" ht="14.25" customHeight="1">
      <c r="A9" s="121" t="s">
        <v>1481</v>
      </c>
      <c r="B9" s="269">
        <v>4</v>
      </c>
      <c r="C9" s="771">
        <f>'01现金流量表'!C26</f>
        <v>0</v>
      </c>
      <c r="D9" s="771"/>
    </row>
    <row r="10" spans="1:4" ht="14.25" customHeight="1">
      <c r="A10" s="121" t="s">
        <v>1482</v>
      </c>
      <c r="B10" s="269">
        <v>5</v>
      </c>
      <c r="C10" s="771">
        <f>'01现金流量表'!C27</f>
        <v>0</v>
      </c>
      <c r="D10" s="771"/>
    </row>
    <row r="11" spans="1:4" ht="14.25" customHeight="1">
      <c r="A11" s="121" t="s">
        <v>1483</v>
      </c>
      <c r="B11" s="269">
        <v>6</v>
      </c>
      <c r="C11" s="771">
        <f>'01现金流量表'!C28</f>
        <v>0</v>
      </c>
      <c r="D11" s="771"/>
    </row>
    <row r="12" spans="1:4" ht="14.25" customHeight="1">
      <c r="A12" s="121" t="s">
        <v>1484</v>
      </c>
      <c r="B12" s="269"/>
      <c r="C12" s="771">
        <f>SUM(C6:C7)-SUM(C8:C11)</f>
        <v>0</v>
      </c>
      <c r="D12" s="771">
        <f>SUM(D6:D7)-SUM(D8:D11)</f>
        <v>0</v>
      </c>
    </row>
    <row r="13" spans="1:4" ht="14.25" customHeight="1">
      <c r="A13" s="124" t="s">
        <v>608</v>
      </c>
      <c r="B13" s="269">
        <v>7</v>
      </c>
      <c r="C13" s="771"/>
      <c r="D13" s="771"/>
    </row>
    <row r="14" spans="1:4" ht="14.25" customHeight="1">
      <c r="A14" s="121" t="s">
        <v>1485</v>
      </c>
      <c r="B14" s="269">
        <v>8</v>
      </c>
      <c r="C14" s="771">
        <f>'01现金流量表'!C32</f>
        <v>0</v>
      </c>
      <c r="D14" s="771"/>
    </row>
    <row r="15" spans="1:4" ht="14.25" customHeight="1">
      <c r="A15" s="121" t="s">
        <v>1486</v>
      </c>
      <c r="B15" s="269">
        <v>9</v>
      </c>
      <c r="C15" s="771">
        <f>'01现金流量表'!C33</f>
        <v>0</v>
      </c>
      <c r="D15" s="771"/>
    </row>
    <row r="16" spans="1:4" ht="14.25" customHeight="1">
      <c r="A16" s="121" t="s">
        <v>1487</v>
      </c>
      <c r="B16" s="269">
        <v>10</v>
      </c>
      <c r="C16" s="771">
        <f>'01现金流量表'!G5</f>
        <v>0</v>
      </c>
      <c r="D16" s="771"/>
    </row>
    <row r="17" spans="1:4" ht="14.25" customHeight="1">
      <c r="A17" s="121" t="s">
        <v>1488</v>
      </c>
      <c r="B17" s="269">
        <v>11</v>
      </c>
      <c r="C17" s="771">
        <f>'01现金流量表'!G10</f>
        <v>0</v>
      </c>
      <c r="D17" s="771"/>
    </row>
    <row r="18" spans="1:4" ht="14.25" customHeight="1">
      <c r="A18" s="121" t="s">
        <v>1489</v>
      </c>
      <c r="B18" s="269">
        <v>12</v>
      </c>
      <c r="C18" s="771">
        <f>'01现金流量表'!G9</f>
        <v>0</v>
      </c>
      <c r="D18" s="771"/>
    </row>
    <row r="19" spans="1:4" ht="14.25" customHeight="1">
      <c r="A19" s="123" t="s">
        <v>609</v>
      </c>
      <c r="B19" s="269">
        <v>13</v>
      </c>
      <c r="C19" s="771">
        <f>SUM(C14:C16)-SUM(C17:C18)</f>
        <v>0</v>
      </c>
      <c r="D19" s="771">
        <f>SUM(D14:D16)-SUM(D17:D18)</f>
        <v>0</v>
      </c>
    </row>
    <row r="20" spans="1:4" ht="14.25" customHeight="1">
      <c r="A20" s="124" t="s">
        <v>610</v>
      </c>
      <c r="B20" s="269"/>
      <c r="C20" s="771"/>
      <c r="D20" s="771"/>
    </row>
    <row r="21" spans="1:4" ht="14.25" customHeight="1">
      <c r="A21" s="121" t="s">
        <v>1490</v>
      </c>
      <c r="B21" s="269">
        <v>14</v>
      </c>
      <c r="C21" s="771">
        <f>'01现金流量表'!G19</f>
        <v>0</v>
      </c>
      <c r="D21" s="771"/>
    </row>
    <row r="22" spans="1:4" ht="14.25" customHeight="1">
      <c r="A22" s="121" t="s">
        <v>1491</v>
      </c>
      <c r="B22" s="269">
        <v>15</v>
      </c>
      <c r="C22" s="771">
        <f>'01现金流量表'!G17</f>
        <v>0</v>
      </c>
      <c r="D22" s="771"/>
    </row>
    <row r="23" spans="1:4" ht="14.25" customHeight="1">
      <c r="A23" s="121" t="s">
        <v>1492</v>
      </c>
      <c r="B23" s="269">
        <v>16</v>
      </c>
      <c r="C23" s="771">
        <f>'01现金流量表'!G23</f>
        <v>0</v>
      </c>
      <c r="D23" s="771"/>
    </row>
    <row r="24" spans="1:4" ht="14.25" customHeight="1">
      <c r="A24" s="121" t="s">
        <v>1493</v>
      </c>
      <c r="B24" s="269">
        <v>17</v>
      </c>
      <c r="C24" s="771">
        <f>'01现金流量表'!G24</f>
        <v>0</v>
      </c>
      <c r="D24" s="771"/>
    </row>
    <row r="25" spans="1:4" ht="14.25" customHeight="1">
      <c r="A25" s="121" t="s">
        <v>1494</v>
      </c>
      <c r="B25" s="269">
        <v>18</v>
      </c>
      <c r="C25" s="771"/>
      <c r="D25" s="771"/>
    </row>
    <row r="26" spans="1:4" ht="14.25" customHeight="1">
      <c r="A26" s="121" t="s">
        <v>1495</v>
      </c>
      <c r="B26" s="269">
        <v>19</v>
      </c>
      <c r="C26" s="771">
        <f>SUM(C21:C22)-SUM(C23:C25)</f>
        <v>0</v>
      </c>
      <c r="D26" s="771">
        <f>SUM(D21:D22)-SUM(D23:D25)</f>
        <v>0</v>
      </c>
    </row>
    <row r="27" spans="1:4" ht="14.25" customHeight="1">
      <c r="A27" s="124" t="s">
        <v>611</v>
      </c>
      <c r="B27" s="269">
        <v>20</v>
      </c>
      <c r="C27" s="771">
        <f>C12+C19+C26</f>
        <v>0</v>
      </c>
      <c r="D27" s="771">
        <f>D12+D19+D26</f>
        <v>0</v>
      </c>
    </row>
    <row r="28" spans="1:4" ht="14.25" customHeight="1">
      <c r="A28" s="121" t="s">
        <v>612</v>
      </c>
      <c r="B28" s="269">
        <v>21</v>
      </c>
      <c r="C28" s="771">
        <f>'01现金流量表'!G31</f>
        <v>0</v>
      </c>
      <c r="D28" s="771"/>
    </row>
    <row r="29" spans="1:4" ht="14.25" customHeight="1">
      <c r="A29" s="124" t="s">
        <v>613</v>
      </c>
      <c r="B29" s="269">
        <v>22</v>
      </c>
      <c r="C29" s="771">
        <f>C27+C28</f>
        <v>0</v>
      </c>
      <c r="D29" s="771">
        <f>D27+D28</f>
        <v>0</v>
      </c>
    </row>
    <row r="30" spans="1:4" s="97" customFormat="1" ht="14.25" customHeight="1">
      <c r="A30" s="95"/>
      <c r="B30" s="96"/>
    </row>
    <row r="31" spans="1:4" s="97" customFormat="1">
      <c r="A31" s="95"/>
      <c r="B31" s="96"/>
    </row>
    <row r="32" spans="1:4" s="97" customFormat="1">
      <c r="A32" s="95"/>
      <c r="B32" s="96"/>
    </row>
    <row r="33" spans="1:2" s="97" customFormat="1">
      <c r="A33" s="95"/>
      <c r="B33" s="96"/>
    </row>
    <row r="34" spans="1:2" s="97" customFormat="1">
      <c r="A34" s="95"/>
      <c r="B34" s="96"/>
    </row>
    <row r="35" spans="1:2" s="97" customFormat="1">
      <c r="A35" s="95"/>
      <c r="B35" s="96"/>
    </row>
    <row r="36" spans="1:2" s="97" customFormat="1">
      <c r="A36" s="95"/>
      <c r="B36" s="96"/>
    </row>
    <row r="37" spans="1:2" s="97" customFormat="1">
      <c r="A37" s="95"/>
      <c r="B37" s="96"/>
    </row>
    <row r="38" spans="1:2" s="97" customFormat="1">
      <c r="A38" s="95"/>
      <c r="B38" s="96"/>
    </row>
    <row r="39" spans="1:2">
      <c r="A39" s="98"/>
    </row>
    <row r="40" spans="1:2">
      <c r="A40" s="98"/>
    </row>
    <row r="41" spans="1:2">
      <c r="A41" s="98"/>
    </row>
    <row r="42" spans="1:2">
      <c r="A42" s="98"/>
    </row>
    <row r="43" spans="1:2">
      <c r="A43" s="98"/>
    </row>
    <row r="44" spans="1:2">
      <c r="A44" s="98"/>
    </row>
    <row r="45" spans="1:2">
      <c r="A45" s="98"/>
    </row>
  </sheetData>
  <sheetProtection selectLockedCells="1"/>
  <mergeCells count="1">
    <mergeCell ref="A1:D1"/>
  </mergeCells>
  <phoneticPr fontId="1" type="noConversion"/>
  <pageMargins left="0.7" right="0.7" top="0.75" bottom="0.75" header="0.3" footer="0.3"/>
  <pageSetup paperSize="0" orientation="portrait" horizontalDpi="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7"/>
  <sheetViews>
    <sheetView workbookViewId="0">
      <selection activeCell="D6" sqref="D6"/>
    </sheetView>
  </sheetViews>
  <sheetFormatPr defaultColWidth="9" defaultRowHeight="14.25" customHeight="1"/>
  <cols>
    <col min="1" max="1" width="23.6328125" style="106" customWidth="1"/>
    <col min="2" max="2" width="21.90625" style="106" customWidth="1"/>
    <col min="3" max="3" width="25" style="106" customWidth="1"/>
    <col min="4" max="4" width="25.6328125" style="106" customWidth="1"/>
    <col min="5" max="16384" width="9" style="106"/>
  </cols>
  <sheetData>
    <row r="1" spans="1:4" ht="14.25" customHeight="1">
      <c r="A1" s="657" t="s">
        <v>1678</v>
      </c>
      <c r="B1" s="657"/>
      <c r="C1" s="657"/>
      <c r="D1" s="658"/>
    </row>
    <row r="2" spans="1:4" ht="14.25" customHeight="1">
      <c r="A2" s="429" t="s">
        <v>1918</v>
      </c>
      <c r="B2" s="500" t="s">
        <v>2167</v>
      </c>
      <c r="C2" s="381" t="s">
        <v>1915</v>
      </c>
      <c r="D2" s="523" t="s">
        <v>2168</v>
      </c>
    </row>
    <row r="3" spans="1:4" ht="14.25" customHeight="1">
      <c r="A3" s="429" t="s">
        <v>1919</v>
      </c>
      <c r="B3" s="500">
        <v>2018</v>
      </c>
      <c r="C3" s="382" t="s">
        <v>1920</v>
      </c>
      <c r="D3" s="523" t="s">
        <v>1682</v>
      </c>
    </row>
    <row r="4" spans="1:4" ht="14.25" customHeight="1">
      <c r="A4" s="382" t="s">
        <v>1921</v>
      </c>
      <c r="B4" s="523" t="s">
        <v>2169</v>
      </c>
      <c r="C4" s="382" t="s">
        <v>1922</v>
      </c>
      <c r="D4" s="523" t="s">
        <v>2170</v>
      </c>
    </row>
    <row r="5" spans="1:4" ht="14.25" customHeight="1">
      <c r="A5" s="382" t="s">
        <v>1912</v>
      </c>
      <c r="B5" s="523"/>
      <c r="C5" s="382" t="s">
        <v>1917</v>
      </c>
      <c r="D5" s="523"/>
    </row>
    <row r="6" spans="1:4" ht="14.25" customHeight="1">
      <c r="A6" s="382" t="s">
        <v>1913</v>
      </c>
      <c r="B6" s="523"/>
      <c r="C6" s="386" t="s">
        <v>1738</v>
      </c>
      <c r="D6" s="523" t="s">
        <v>2171</v>
      </c>
    </row>
    <row r="7" spans="1:4" ht="14.25" customHeight="1">
      <c r="A7" s="381" t="s">
        <v>1731</v>
      </c>
      <c r="B7" s="523"/>
      <c r="C7" s="381" t="s">
        <v>1739</v>
      </c>
      <c r="D7" s="523"/>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33"/>
  <sheetViews>
    <sheetView workbookViewId="0">
      <selection activeCell="F32" sqref="F32 F21"/>
    </sheetView>
  </sheetViews>
  <sheetFormatPr defaultRowHeight="14.25" customHeight="1"/>
  <cols>
    <col min="1" max="1" width="14.26953125" customWidth="1"/>
    <col min="2" max="3" width="20.6328125" customWidth="1"/>
    <col min="4" max="4" width="18.26953125" customWidth="1"/>
    <col min="5" max="6" width="20.6328125" customWidth="1"/>
  </cols>
  <sheetData>
    <row r="1" spans="1:6" s="343" customFormat="1" ht="29.15" customHeight="1">
      <c r="A1" s="683" t="s">
        <v>1668</v>
      </c>
      <c r="B1" s="683"/>
      <c r="C1" s="683"/>
      <c r="D1" s="683"/>
      <c r="E1" s="683"/>
      <c r="F1" s="683"/>
    </row>
    <row r="2" spans="1:6" s="338" customFormat="1" ht="14.25" customHeight="1">
      <c r="A2" s="106"/>
      <c r="B2" s="106"/>
      <c r="C2" s="106"/>
      <c r="D2" s="106"/>
      <c r="E2" s="106"/>
      <c r="F2" s="109" t="s">
        <v>1555</v>
      </c>
    </row>
    <row r="3" spans="1:6" s="338" customFormat="1" ht="14.25" customHeight="1">
      <c r="A3" s="379" t="str">
        <f>"编制单位："&amp;基础资料!D3</f>
        <v>编制单位：</v>
      </c>
      <c r="B3" s="106"/>
      <c r="C3" s="682" t="str">
        <f>'04业务情况'!B3&amp;"年12月31日"</f>
        <v>2018年12月31日</v>
      </c>
      <c r="D3" s="682"/>
      <c r="E3" s="106"/>
      <c r="F3" s="109" t="s">
        <v>1496</v>
      </c>
    </row>
    <row r="4" spans="1:6" s="338" customFormat="1" ht="14.25" customHeight="1">
      <c r="A4" s="253" t="s">
        <v>1556</v>
      </c>
      <c r="B4" s="253" t="s">
        <v>617</v>
      </c>
      <c r="C4" s="253" t="s">
        <v>618</v>
      </c>
      <c r="D4" s="253" t="s">
        <v>1557</v>
      </c>
      <c r="E4" s="253" t="s">
        <v>1558</v>
      </c>
      <c r="F4" s="253" t="s">
        <v>1559</v>
      </c>
    </row>
    <row r="5" spans="1:6" s="338" customFormat="1" ht="14.25" customHeight="1">
      <c r="A5" s="78" t="s">
        <v>1560</v>
      </c>
      <c r="B5" s="598"/>
      <c r="C5" s="598"/>
      <c r="D5" s="78" t="s">
        <v>1561</v>
      </c>
      <c r="E5" s="598"/>
      <c r="F5" s="598"/>
    </row>
    <row r="6" spans="1:6" s="338" customFormat="1" ht="14.25" customHeight="1">
      <c r="A6" s="90" t="s">
        <v>1562</v>
      </c>
      <c r="B6" s="645"/>
      <c r="C6" s="645"/>
      <c r="D6" s="90" t="s">
        <v>1563</v>
      </c>
      <c r="E6" s="645"/>
      <c r="F6" s="645"/>
    </row>
    <row r="7" spans="1:6" s="338" customFormat="1" ht="14.25" customHeight="1">
      <c r="A7" s="90" t="s">
        <v>1564</v>
      </c>
      <c r="B7" s="645"/>
      <c r="C7" s="645"/>
      <c r="D7" s="90" t="s">
        <v>1565</v>
      </c>
      <c r="E7" s="645"/>
      <c r="F7" s="645"/>
    </row>
    <row r="8" spans="1:6" s="338" customFormat="1" ht="14.25" customHeight="1">
      <c r="A8" s="90" t="s">
        <v>1566</v>
      </c>
      <c r="B8" s="645"/>
      <c r="C8" s="645"/>
      <c r="D8" s="90" t="s">
        <v>1567</v>
      </c>
      <c r="E8" s="645"/>
      <c r="F8" s="645"/>
    </row>
    <row r="9" spans="1:6" s="338" customFormat="1" ht="14.25" customHeight="1">
      <c r="A9" s="90" t="s">
        <v>1568</v>
      </c>
      <c r="B9" s="645"/>
      <c r="C9" s="645"/>
      <c r="D9" s="90" t="s">
        <v>1569</v>
      </c>
      <c r="E9" s="645"/>
      <c r="F9" s="645"/>
    </row>
    <row r="10" spans="1:6" s="338" customFormat="1" ht="14.25" customHeight="1">
      <c r="A10" s="90" t="s">
        <v>1570</v>
      </c>
      <c r="B10" s="645"/>
      <c r="C10" s="645"/>
      <c r="D10" s="90" t="s">
        <v>1571</v>
      </c>
      <c r="E10" s="645"/>
      <c r="F10" s="645"/>
    </row>
    <row r="11" spans="1:6" s="338" customFormat="1" ht="14.25" customHeight="1">
      <c r="A11" s="90" t="s">
        <v>1572</v>
      </c>
      <c r="B11" s="645"/>
      <c r="C11" s="645"/>
      <c r="D11" s="90" t="s">
        <v>1573</v>
      </c>
      <c r="E11" s="645"/>
      <c r="F11" s="645"/>
    </row>
    <row r="12" spans="1:6" s="338" customFormat="1" ht="14.25" customHeight="1">
      <c r="A12" s="90" t="s">
        <v>1574</v>
      </c>
      <c r="B12" s="645"/>
      <c r="C12" s="645"/>
      <c r="D12" s="90" t="s">
        <v>1575</v>
      </c>
      <c r="E12" s="645"/>
      <c r="F12" s="645"/>
    </row>
    <row r="13" spans="1:6" s="338" customFormat="1" ht="14.25" customHeight="1">
      <c r="A13" s="90" t="s">
        <v>1576</v>
      </c>
      <c r="B13" s="645"/>
      <c r="C13" s="645"/>
      <c r="D13" s="90" t="s">
        <v>1577</v>
      </c>
      <c r="E13" s="645"/>
      <c r="F13" s="645"/>
    </row>
    <row r="14" spans="1:6" s="338" customFormat="1" ht="14.25" customHeight="1">
      <c r="A14" s="90" t="s">
        <v>1578</v>
      </c>
      <c r="B14" s="645"/>
      <c r="C14" s="645"/>
      <c r="D14" s="90" t="s">
        <v>1579</v>
      </c>
      <c r="E14" s="645"/>
      <c r="F14" s="645"/>
    </row>
    <row r="15" spans="1:6" s="338" customFormat="1" ht="14.25" customHeight="1">
      <c r="A15" s="90" t="s">
        <v>1580</v>
      </c>
      <c r="B15" s="645">
        <f>SUM(B6:B14)</f>
        <v>0</v>
      </c>
      <c r="C15" s="645">
        <f>SUM(C6:C14)</f>
        <v>0</v>
      </c>
      <c r="D15" s="90" t="s">
        <v>1581</v>
      </c>
      <c r="E15" s="645"/>
      <c r="F15" s="645"/>
    </row>
    <row r="16" spans="1:6" s="338" customFormat="1" ht="14.25" customHeight="1">
      <c r="A16" s="78" t="s">
        <v>1582</v>
      </c>
      <c r="B16" s="645"/>
      <c r="C16" s="645"/>
      <c r="D16" s="90" t="s">
        <v>1583</v>
      </c>
      <c r="E16" s="645">
        <f>SUM(E6:E15)</f>
        <v>0</v>
      </c>
      <c r="F16" s="645">
        <f>SUM(F6:F15)</f>
        <v>0</v>
      </c>
    </row>
    <row r="17" spans="1:6" s="338" customFormat="1" ht="14.25" customHeight="1">
      <c r="A17" s="90" t="s">
        <v>1584</v>
      </c>
      <c r="B17" s="645"/>
      <c r="C17" s="645"/>
      <c r="D17" s="78" t="s">
        <v>1585</v>
      </c>
      <c r="E17" s="645"/>
      <c r="F17" s="645"/>
    </row>
    <row r="18" spans="1:6" s="338" customFormat="1" ht="14.25" customHeight="1">
      <c r="A18" s="90" t="s">
        <v>1586</v>
      </c>
      <c r="B18" s="645">
        <f>B19-B20</f>
        <v>0</v>
      </c>
      <c r="C18" s="645">
        <f>C19-C20</f>
        <v>0</v>
      </c>
      <c r="D18" s="90" t="s">
        <v>1587</v>
      </c>
      <c r="E18" s="645"/>
      <c r="F18" s="645"/>
    </row>
    <row r="19" spans="1:6" s="338" customFormat="1" ht="14.25" customHeight="1">
      <c r="A19" s="90" t="s">
        <v>1588</v>
      </c>
      <c r="B19" s="645"/>
      <c r="C19" s="645"/>
      <c r="D19" s="90" t="s">
        <v>1589</v>
      </c>
      <c r="E19" s="645"/>
      <c r="F19" s="645"/>
    </row>
    <row r="20" spans="1:6" s="338" customFormat="1" ht="14.25" customHeight="1">
      <c r="A20" s="90" t="s">
        <v>1590</v>
      </c>
      <c r="B20" s="645"/>
      <c r="C20" s="645"/>
      <c r="D20" s="90" t="s">
        <v>1591</v>
      </c>
      <c r="E20" s="645">
        <f>E18+E19</f>
        <v>0</v>
      </c>
      <c r="F20" s="645">
        <f>F18+F19</f>
        <v>0</v>
      </c>
    </row>
    <row r="21" spans="1:6" s="338" customFormat="1" ht="14.25" customHeight="1">
      <c r="A21" s="90" t="s">
        <v>1592</v>
      </c>
      <c r="B21" s="645"/>
      <c r="C21" s="645"/>
      <c r="D21" s="253" t="s">
        <v>1593</v>
      </c>
      <c r="E21" s="645">
        <f>E16+E20</f>
        <v>0</v>
      </c>
      <c r="F21" s="645">
        <f>F16+F20</f>
        <v>0</v>
      </c>
    </row>
    <row r="22" spans="1:6" s="338" customFormat="1" ht="14.25" customHeight="1">
      <c r="A22" s="90" t="s">
        <v>1594</v>
      </c>
      <c r="B22" s="645">
        <f>B23-B24</f>
        <v>0</v>
      </c>
      <c r="C22" s="645">
        <f>C23-C24</f>
        <v>0</v>
      </c>
      <c r="D22" s="78" t="s">
        <v>1595</v>
      </c>
      <c r="E22" s="645"/>
      <c r="F22" s="645"/>
    </row>
    <row r="23" spans="1:6" s="338" customFormat="1" ht="14.25" customHeight="1">
      <c r="A23" s="90" t="s">
        <v>1596</v>
      </c>
      <c r="B23" s="645"/>
      <c r="C23" s="645"/>
      <c r="D23" s="90" t="s">
        <v>1597</v>
      </c>
      <c r="E23" s="645"/>
      <c r="F23" s="645"/>
    </row>
    <row r="24" spans="1:6" s="338" customFormat="1" ht="14.25" customHeight="1">
      <c r="A24" s="90" t="s">
        <v>1598</v>
      </c>
      <c r="B24" s="645"/>
      <c r="C24" s="645"/>
      <c r="D24" s="90" t="s">
        <v>1599</v>
      </c>
      <c r="E24" s="645"/>
      <c r="F24" s="645"/>
    </row>
    <row r="25" spans="1:6" s="338" customFormat="1" ht="14.25" customHeight="1">
      <c r="A25" s="90" t="s">
        <v>1600</v>
      </c>
      <c r="B25" s="645"/>
      <c r="C25" s="645"/>
      <c r="D25" s="90" t="s">
        <v>1601</v>
      </c>
      <c r="E25" s="645"/>
      <c r="F25" s="645"/>
    </row>
    <row r="26" spans="1:6" s="338" customFormat="1" ht="14.25" customHeight="1">
      <c r="A26" s="90" t="s">
        <v>1602</v>
      </c>
      <c r="B26" s="645">
        <f>SUM(B17:B18)+B21+B22+B25</f>
        <v>0</v>
      </c>
      <c r="C26" s="645">
        <f>SUM(C17:C18)+C21+C22+C25</f>
        <v>0</v>
      </c>
      <c r="D26" s="90" t="s">
        <v>1603</v>
      </c>
      <c r="E26" s="645"/>
      <c r="F26" s="645"/>
    </row>
    <row r="27" spans="1:6" s="338" customFormat="1" ht="14.25" customHeight="1">
      <c r="A27" s="90"/>
      <c r="B27" s="645"/>
      <c r="C27" s="645"/>
      <c r="D27" s="90" t="s">
        <v>1604</v>
      </c>
      <c r="E27" s="645"/>
      <c r="F27" s="645"/>
    </row>
    <row r="28" spans="1:6" s="338" customFormat="1" ht="14.25" customHeight="1">
      <c r="A28" s="90"/>
      <c r="B28" s="645"/>
      <c r="C28" s="645"/>
      <c r="D28" s="90" t="s">
        <v>1605</v>
      </c>
      <c r="E28" s="645"/>
      <c r="F28" s="645"/>
    </row>
    <row r="29" spans="1:6" s="338" customFormat="1" ht="14.25" customHeight="1">
      <c r="A29" s="90"/>
      <c r="B29" s="645"/>
      <c r="C29" s="645"/>
      <c r="D29" s="90" t="s">
        <v>1606</v>
      </c>
      <c r="E29" s="645">
        <f>E30+E31</f>
        <v>0</v>
      </c>
      <c r="F29" s="645">
        <f>F30+F31</f>
        <v>0</v>
      </c>
    </row>
    <row r="30" spans="1:6" s="338" customFormat="1" ht="14.25" customHeight="1">
      <c r="A30" s="90"/>
      <c r="B30" s="645"/>
      <c r="C30" s="645"/>
      <c r="D30" s="90" t="s">
        <v>1607</v>
      </c>
      <c r="E30" s="645"/>
      <c r="F30" s="645"/>
    </row>
    <row r="31" spans="1:6" s="338" customFormat="1" ht="14.25" customHeight="1">
      <c r="A31" s="90"/>
      <c r="B31" s="645"/>
      <c r="C31" s="645"/>
      <c r="D31" s="90" t="s">
        <v>1608</v>
      </c>
      <c r="E31" s="645"/>
      <c r="F31" s="645"/>
    </row>
    <row r="32" spans="1:6" s="338" customFormat="1" ht="14.25" customHeight="1">
      <c r="A32" s="90"/>
      <c r="B32" s="645"/>
      <c r="C32" s="645"/>
      <c r="D32" s="253" t="s">
        <v>1609</v>
      </c>
      <c r="E32" s="645">
        <f>SUM(E23:E29)</f>
        <v>0</v>
      </c>
      <c r="F32" s="645">
        <f>SUM(F23:F29)</f>
        <v>0</v>
      </c>
    </row>
    <row r="33" spans="1:6" s="338" customFormat="1" ht="14.25" customHeight="1">
      <c r="A33" s="253" t="s">
        <v>619</v>
      </c>
      <c r="B33" s="645">
        <f>B26+B15</f>
        <v>0</v>
      </c>
      <c r="C33" s="645">
        <f>C26+C15</f>
        <v>0</v>
      </c>
      <c r="D33" s="253" t="s">
        <v>1610</v>
      </c>
      <c r="E33" s="645">
        <f>E32+E21</f>
        <v>0</v>
      </c>
      <c r="F33" s="645">
        <f>F32+F21</f>
        <v>0</v>
      </c>
    </row>
  </sheetData>
  <sheetProtection selectLockedCells="1"/>
  <mergeCells count="2">
    <mergeCell ref="C3:D3"/>
    <mergeCell ref="A1:F1"/>
  </mergeCells>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30"/>
  <sheetViews>
    <sheetView workbookViewId="0">
      <selection activeCell="C26" sqref="C26:C28"/>
    </sheetView>
  </sheetViews>
  <sheetFormatPr defaultRowHeight="14.25" customHeight="1"/>
  <cols>
    <col min="1" max="1" width="33.90625" bestFit="1" customWidth="1"/>
    <col min="2" max="3" width="20.6328125" customWidth="1"/>
  </cols>
  <sheetData>
    <row r="1" spans="1:3" ht="29.15" customHeight="1">
      <c r="A1" s="683" t="s">
        <v>1669</v>
      </c>
      <c r="B1" s="683"/>
      <c r="C1" s="683"/>
    </row>
    <row r="2" spans="1:3" s="338" customFormat="1" ht="14.25" customHeight="1">
      <c r="A2" s="106"/>
      <c r="B2" s="106"/>
      <c r="C2" s="109" t="s">
        <v>1611</v>
      </c>
    </row>
    <row r="3" spans="1:3" s="338" customFormat="1" ht="14.25" customHeight="1">
      <c r="A3" s="379" t="str">
        <f>'04资产负债表'!A3</f>
        <v>编制单位：</v>
      </c>
      <c r="B3" s="379" t="str">
        <f>'04业务情况'!B3&amp;"年"</f>
        <v>2018年</v>
      </c>
      <c r="C3" s="109" t="s">
        <v>1496</v>
      </c>
    </row>
    <row r="4" spans="1:3" s="338" customFormat="1" ht="14.25" customHeight="1">
      <c r="A4" s="253" t="s">
        <v>1612</v>
      </c>
      <c r="B4" s="253" t="s">
        <v>621</v>
      </c>
      <c r="C4" s="253" t="s">
        <v>571</v>
      </c>
    </row>
    <row r="5" spans="1:3" s="338" customFormat="1" ht="14.25" customHeight="1">
      <c r="A5" s="78" t="s">
        <v>1613</v>
      </c>
      <c r="B5" s="645">
        <f>B6-B7</f>
        <v>0</v>
      </c>
      <c r="C5" s="645">
        <f>C6-C7</f>
        <v>0</v>
      </c>
    </row>
    <row r="6" spans="1:3" s="338" customFormat="1" ht="14.25" customHeight="1">
      <c r="A6" s="90" t="s">
        <v>622</v>
      </c>
      <c r="B6" s="645"/>
      <c r="C6" s="645"/>
    </row>
    <row r="7" spans="1:3" s="338" customFormat="1" ht="14.25" customHeight="1">
      <c r="A7" s="90" t="s">
        <v>1614</v>
      </c>
      <c r="B7" s="645"/>
      <c r="C7" s="645"/>
    </row>
    <row r="8" spans="1:3" s="338" customFormat="1" ht="14.25" customHeight="1">
      <c r="A8" s="78" t="s">
        <v>1615</v>
      </c>
      <c r="B8" s="645">
        <f>B9-B15</f>
        <v>0</v>
      </c>
      <c r="C8" s="645">
        <f>C9-C15</f>
        <v>0</v>
      </c>
    </row>
    <row r="9" spans="1:3" s="338" customFormat="1" ht="14.25" customHeight="1">
      <c r="A9" s="90" t="s">
        <v>1616</v>
      </c>
      <c r="B9" s="645">
        <f>SUM(B10:B13)</f>
        <v>0</v>
      </c>
      <c r="C9" s="645">
        <f>SUM(C10:C13)</f>
        <v>0</v>
      </c>
    </row>
    <row r="10" spans="1:3" s="338" customFormat="1" ht="14.25" customHeight="1">
      <c r="A10" s="90" t="s">
        <v>1617</v>
      </c>
      <c r="B10" s="645"/>
      <c r="C10" s="645"/>
    </row>
    <row r="11" spans="1:3" s="338" customFormat="1" ht="14.25" customHeight="1">
      <c r="A11" s="90" t="s">
        <v>1618</v>
      </c>
      <c r="B11" s="645"/>
      <c r="C11" s="645"/>
    </row>
    <row r="12" spans="1:3" s="338" customFormat="1" ht="14.25" customHeight="1">
      <c r="A12" s="90" t="s">
        <v>1619</v>
      </c>
      <c r="B12" s="645"/>
      <c r="C12" s="645"/>
    </row>
    <row r="13" spans="1:3" s="338" customFormat="1" ht="14.25" customHeight="1">
      <c r="A13" s="90" t="s">
        <v>1620</v>
      </c>
      <c r="B13" s="645"/>
      <c r="C13" s="645"/>
    </row>
    <row r="14" spans="1:3" s="338" customFormat="1" ht="14.25" customHeight="1">
      <c r="A14" s="90" t="s">
        <v>1621</v>
      </c>
      <c r="B14" s="645"/>
      <c r="C14" s="645"/>
    </row>
    <row r="15" spans="1:3" s="338" customFormat="1" ht="14.25" customHeight="1">
      <c r="A15" s="90" t="s">
        <v>1622</v>
      </c>
      <c r="B15" s="645">
        <f>SUM(B16:B19)</f>
        <v>0</v>
      </c>
      <c r="C15" s="645">
        <f>SUM(C16:C19)</f>
        <v>0</v>
      </c>
    </row>
    <row r="16" spans="1:3" s="338" customFormat="1" ht="14.25" customHeight="1">
      <c r="A16" s="90" t="s">
        <v>1623</v>
      </c>
      <c r="B16" s="645"/>
      <c r="C16" s="645"/>
    </row>
    <row r="17" spans="1:3" s="338" customFormat="1" ht="14.25" customHeight="1">
      <c r="A17" s="90" t="s">
        <v>1624</v>
      </c>
      <c r="B17" s="645"/>
      <c r="C17" s="645"/>
    </row>
    <row r="18" spans="1:3" s="338" customFormat="1" ht="14.25" customHeight="1">
      <c r="A18" s="90" t="s">
        <v>1625</v>
      </c>
      <c r="B18" s="645"/>
      <c r="C18" s="645"/>
    </row>
    <row r="19" spans="1:3" s="338" customFormat="1" ht="14.25" customHeight="1">
      <c r="A19" s="90" t="s">
        <v>1626</v>
      </c>
      <c r="B19" s="645"/>
      <c r="C19" s="645"/>
    </row>
    <row r="20" spans="1:3" s="338" customFormat="1" ht="14.25" customHeight="1">
      <c r="A20" s="78" t="s">
        <v>1627</v>
      </c>
      <c r="B20" s="645">
        <f>B21-B22</f>
        <v>0</v>
      </c>
      <c r="C20" s="645">
        <f>C21-C22</f>
        <v>0</v>
      </c>
    </row>
    <row r="21" spans="1:3" s="338" customFormat="1" ht="14.25" customHeight="1">
      <c r="A21" s="90" t="s">
        <v>1628</v>
      </c>
      <c r="B21" s="645"/>
      <c r="C21" s="645"/>
    </row>
    <row r="22" spans="1:3" s="338" customFormat="1" ht="14.25" customHeight="1">
      <c r="A22" s="90" t="s">
        <v>1629</v>
      </c>
      <c r="B22" s="645"/>
      <c r="C22" s="645"/>
    </row>
    <row r="23" spans="1:3" s="338" customFormat="1" ht="14.25" customHeight="1">
      <c r="A23" s="78" t="s">
        <v>1630</v>
      </c>
      <c r="B23" s="645"/>
      <c r="C23" s="645"/>
    </row>
    <row r="24" spans="1:3" s="338" customFormat="1" ht="14.25" customHeight="1">
      <c r="A24" s="78" t="s">
        <v>1631</v>
      </c>
      <c r="B24" s="645">
        <f>B9+B23</f>
        <v>0</v>
      </c>
      <c r="C24" s="645">
        <f>C9+C23</f>
        <v>0</v>
      </c>
    </row>
    <row r="25" spans="1:3" s="338" customFormat="1" ht="14.25" customHeight="1">
      <c r="A25" s="90" t="s">
        <v>1632</v>
      </c>
      <c r="B25" s="645"/>
      <c r="C25" s="645"/>
    </row>
    <row r="26" spans="1:3" s="338" customFormat="1" ht="14.25" customHeight="1">
      <c r="A26" s="78" t="s">
        <v>1633</v>
      </c>
      <c r="B26" s="645">
        <f>B24-B25</f>
        <v>0</v>
      </c>
      <c r="C26" s="645">
        <f>C24-C25</f>
        <v>0</v>
      </c>
    </row>
    <row r="27" spans="1:3" s="338" customFormat="1" ht="14.25" customHeight="1">
      <c r="A27" s="90" t="s">
        <v>1634</v>
      </c>
      <c r="B27" s="645"/>
      <c r="C27" s="645"/>
    </row>
    <row r="28" spans="1:3" s="338" customFormat="1" ht="14.25" customHeight="1">
      <c r="A28" s="90" t="s">
        <v>1635</v>
      </c>
      <c r="B28" s="645"/>
      <c r="C28" s="645"/>
    </row>
    <row r="29" spans="1:3" s="338" customFormat="1" ht="14.25" customHeight="1">
      <c r="A29" s="78" t="s">
        <v>1636</v>
      </c>
      <c r="B29" s="645">
        <f>B26-B27-B28</f>
        <v>0</v>
      </c>
      <c r="C29" s="645">
        <f>C26-C27-C28</f>
        <v>0</v>
      </c>
    </row>
    <row r="30" spans="1:3" ht="14.25" customHeight="1">
      <c r="B30" s="76"/>
      <c r="C30" s="76"/>
    </row>
  </sheetData>
  <sheetProtection selectLockedCells="1"/>
  <mergeCells count="1">
    <mergeCell ref="A1:C1"/>
  </mergeCells>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7"/>
  <sheetViews>
    <sheetView workbookViewId="0">
      <selection activeCell="D5" sqref="D5"/>
    </sheetView>
  </sheetViews>
  <sheetFormatPr defaultColWidth="9" defaultRowHeight="14.25" customHeight="1"/>
  <cols>
    <col min="1" max="1" width="23.6328125" style="106" customWidth="1"/>
    <col min="2" max="2" width="21.90625" style="106" customWidth="1"/>
    <col min="3" max="3" width="25" style="106" customWidth="1"/>
    <col min="4" max="4" width="33.453125" style="106" customWidth="1"/>
    <col min="5" max="16384" width="9" style="106"/>
  </cols>
  <sheetData>
    <row r="1" spans="1:4" ht="14.25" customHeight="1">
      <c r="A1" s="657" t="s">
        <v>1678</v>
      </c>
      <c r="B1" s="657"/>
      <c r="C1" s="657"/>
      <c r="D1" s="658"/>
    </row>
    <row r="2" spans="1:4" ht="14.25" customHeight="1">
      <c r="A2" s="429" t="s">
        <v>1918</v>
      </c>
      <c r="B2" s="500" t="s">
        <v>2009</v>
      </c>
      <c r="C2" s="381" t="s">
        <v>1915</v>
      </c>
      <c r="D2" s="584" t="s">
        <v>1682</v>
      </c>
    </row>
    <row r="3" spans="1:4" ht="14.25" customHeight="1">
      <c r="A3" s="429" t="s">
        <v>1919</v>
      </c>
      <c r="B3" s="500" t="s">
        <v>2009</v>
      </c>
      <c r="C3" s="382" t="s">
        <v>1920</v>
      </c>
      <c r="D3" s="584" t="s">
        <v>1682</v>
      </c>
    </row>
    <row r="4" spans="1:4" ht="14.25" customHeight="1">
      <c r="A4" s="382" t="s">
        <v>1921</v>
      </c>
      <c r="B4" s="584" t="s">
        <v>1682</v>
      </c>
      <c r="C4" s="382" t="s">
        <v>1922</v>
      </c>
      <c r="D4" s="584" t="s">
        <v>1682</v>
      </c>
    </row>
    <row r="5" spans="1:4" ht="14.25" customHeight="1">
      <c r="A5" s="382" t="s">
        <v>1912</v>
      </c>
      <c r="B5" s="584"/>
      <c r="C5" s="382" t="s">
        <v>1917</v>
      </c>
      <c r="D5" s="584"/>
    </row>
    <row r="6" spans="1:4" ht="14.25" customHeight="1">
      <c r="A6" s="382" t="s">
        <v>1913</v>
      </c>
      <c r="B6" s="584"/>
      <c r="C6" s="386" t="s">
        <v>1738</v>
      </c>
      <c r="D6" s="584" t="s">
        <v>1682</v>
      </c>
    </row>
    <row r="7" spans="1:4" ht="14.25" customHeight="1">
      <c r="A7" s="381" t="s">
        <v>1731</v>
      </c>
      <c r="B7" s="584"/>
      <c r="C7" s="381" t="s">
        <v>1739</v>
      </c>
      <c r="D7" s="584"/>
    </row>
  </sheetData>
  <sheetProtection selectLockedCells="1"/>
  <mergeCells count="1">
    <mergeCell ref="A1:D1"/>
  </mergeCells>
  <phoneticPr fontId="1" type="noConversion"/>
  <dataValidations count="8">
    <dataValidation type="whole" operator="notEqual" allowBlank="1" showInputMessage="1" showErrorMessage="1" error="请输入整数" sqref="D5">
      <formula1>-99999</formula1>
    </dataValidation>
    <dataValidation type="whole" operator="notEqual" allowBlank="1" showInputMessage="1" showErrorMessage="1" error="请输入整数" sqref="B5">
      <formula1>-99999999</formula1>
    </dataValidation>
    <dataValidation type="list" allowBlank="1" showInputMessage="1" showErrorMessage="1" sqref="B4 D4">
      <formula1>"请选择,一月,二月,三月,四月,五月,六月,七月,八月,九月,十月,十一月,十二月"</formula1>
    </dataValidation>
    <dataValidation type="list" allowBlank="1" showInputMessage="1" showErrorMessage="1" sqref="D3">
      <formula1>"请选择,一季度,二季度,三季度,四季度"</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2">
      <formula1>"请选择,年度,季度,按月份"</formula1>
    </dataValidation>
    <dataValidation type="list" allowBlank="1" showInputMessage="1" showErrorMessage="1" sqref="B2">
      <formula1>"请选择,中央企业集团,上市公司,其它公司"</formula1>
    </dataValidation>
    <dataValidation type="list" allowBlank="1" showInputMessage="1" showErrorMessage="1" sqref="D6">
      <formula1>"请选择,无保留意见,保留意见,无保留意见带强调事项,否定意见,无法表示意见"</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43"/>
  <sheetViews>
    <sheetView topLeftCell="A16" workbookViewId="0">
      <selection activeCell="F14" sqref="F14"/>
    </sheetView>
  </sheetViews>
  <sheetFormatPr defaultRowHeight="14.25" customHeight="1"/>
  <cols>
    <col min="1" max="1" width="22.26953125" customWidth="1"/>
    <col min="2" max="3" width="20.6328125" customWidth="1"/>
    <col min="4" max="4" width="20.08984375" customWidth="1"/>
    <col min="5" max="6" width="20.6328125" customWidth="1"/>
  </cols>
  <sheetData>
    <row r="1" spans="1:6" s="341" customFormat="1" ht="29.15" customHeight="1">
      <c r="A1" s="680" t="s">
        <v>1665</v>
      </c>
      <c r="B1" s="680"/>
      <c r="C1" s="680"/>
      <c r="D1" s="680"/>
      <c r="E1" s="680"/>
      <c r="F1" s="680"/>
    </row>
    <row r="2" spans="1:6" ht="14.25" customHeight="1">
      <c r="A2" s="106"/>
      <c r="B2" s="107"/>
      <c r="C2" s="106"/>
      <c r="D2" s="107"/>
      <c r="E2" s="106"/>
      <c r="F2" s="109" t="s">
        <v>623</v>
      </c>
    </row>
    <row r="3" spans="1:6" ht="14.25" customHeight="1">
      <c r="A3" s="379" t="s">
        <v>503</v>
      </c>
      <c r="B3" s="107"/>
      <c r="C3" s="538" t="s">
        <v>504</v>
      </c>
      <c r="D3" s="108"/>
      <c r="E3" s="107"/>
      <c r="F3" s="109" t="s">
        <v>505</v>
      </c>
    </row>
    <row r="4" spans="1:6" ht="14.25" customHeight="1">
      <c r="A4" s="78" t="s">
        <v>506</v>
      </c>
      <c r="B4" s="79" t="s">
        <v>508</v>
      </c>
      <c r="C4" s="79" t="s">
        <v>509</v>
      </c>
      <c r="D4" s="78" t="s">
        <v>624</v>
      </c>
      <c r="E4" s="79" t="s">
        <v>615</v>
      </c>
      <c r="F4" s="79" t="s">
        <v>509</v>
      </c>
    </row>
    <row r="5" spans="1:6" ht="14.25" customHeight="1">
      <c r="A5" s="78" t="s">
        <v>511</v>
      </c>
      <c r="B5" s="645"/>
      <c r="C5" s="645"/>
      <c r="D5" s="78" t="s">
        <v>6</v>
      </c>
      <c r="E5" s="645"/>
      <c r="F5" s="645"/>
    </row>
    <row r="6" spans="1:6" ht="14.25" customHeight="1">
      <c r="A6" s="90" t="s">
        <v>512</v>
      </c>
      <c r="B6" s="645"/>
      <c r="C6" s="645"/>
      <c r="D6" s="90" t="s">
        <v>513</v>
      </c>
      <c r="E6" s="645"/>
      <c r="F6" s="645"/>
    </row>
    <row r="7" spans="1:6" ht="14.25" customHeight="1">
      <c r="A7" s="90" t="s">
        <v>514</v>
      </c>
      <c r="B7" s="645"/>
      <c r="C7" s="645"/>
      <c r="D7" s="90" t="s">
        <v>625</v>
      </c>
      <c r="E7" s="645"/>
      <c r="F7" s="645"/>
    </row>
    <row r="8" spans="1:6" ht="14.25" customHeight="1">
      <c r="A8" s="90" t="s">
        <v>626</v>
      </c>
      <c r="B8" s="645"/>
      <c r="C8" s="645"/>
      <c r="D8" s="90" t="s">
        <v>515</v>
      </c>
      <c r="E8" s="645"/>
      <c r="F8" s="645"/>
    </row>
    <row r="9" spans="1:6" ht="14.25" customHeight="1">
      <c r="A9" s="90" t="s">
        <v>627</v>
      </c>
      <c r="B9" s="645"/>
      <c r="C9" s="645"/>
      <c r="D9" s="90" t="s">
        <v>517</v>
      </c>
      <c r="E9" s="645"/>
      <c r="F9" s="645"/>
    </row>
    <row r="10" spans="1:6" ht="14.25" customHeight="1">
      <c r="A10" s="90" t="s">
        <v>628</v>
      </c>
      <c r="B10" s="645"/>
      <c r="C10" s="645"/>
      <c r="D10" s="110" t="s">
        <v>629</v>
      </c>
      <c r="E10" s="645"/>
      <c r="F10" s="645"/>
    </row>
    <row r="11" spans="1:6" ht="14.25" customHeight="1">
      <c r="A11" s="90" t="s">
        <v>526</v>
      </c>
      <c r="B11" s="645"/>
      <c r="C11" s="645"/>
      <c r="D11" s="90" t="s">
        <v>521</v>
      </c>
      <c r="E11" s="645"/>
      <c r="F11" s="645"/>
    </row>
    <row r="12" spans="1:6" ht="14.25" customHeight="1">
      <c r="A12" s="90" t="s">
        <v>630</v>
      </c>
      <c r="B12" s="645"/>
      <c r="C12" s="645"/>
      <c r="D12" s="90" t="s">
        <v>631</v>
      </c>
      <c r="E12" s="645"/>
      <c r="F12" s="645"/>
    </row>
    <row r="13" spans="1:6" ht="14.25" customHeight="1">
      <c r="A13" s="90" t="s">
        <v>520</v>
      </c>
      <c r="B13" s="645"/>
      <c r="C13" s="645"/>
      <c r="D13" s="90" t="s">
        <v>632</v>
      </c>
      <c r="E13" s="645"/>
      <c r="F13" s="645"/>
    </row>
    <row r="14" spans="1:6" ht="14.25" customHeight="1">
      <c r="A14" s="90" t="s">
        <v>528</v>
      </c>
      <c r="B14" s="645"/>
      <c r="C14" s="645"/>
      <c r="D14" s="90" t="s">
        <v>523</v>
      </c>
      <c r="E14" s="645"/>
      <c r="F14" s="645"/>
    </row>
    <row r="15" spans="1:6" ht="14.25" customHeight="1">
      <c r="A15" s="90" t="s">
        <v>633</v>
      </c>
      <c r="B15" s="645"/>
      <c r="C15" s="645"/>
      <c r="D15" s="90" t="s">
        <v>529</v>
      </c>
      <c r="E15" s="645"/>
      <c r="F15" s="645"/>
    </row>
    <row r="16" spans="1:6" ht="14.25" customHeight="1">
      <c r="A16" s="90" t="s">
        <v>634</v>
      </c>
      <c r="B16" s="645"/>
      <c r="C16" s="645"/>
      <c r="D16" s="90" t="s">
        <v>635</v>
      </c>
      <c r="E16" s="645"/>
      <c r="F16" s="645"/>
    </row>
    <row r="17" spans="1:6" ht="14.25" customHeight="1">
      <c r="A17" s="90" t="s">
        <v>540</v>
      </c>
      <c r="B17" s="645">
        <f>SUM(B6:B16)</f>
        <v>0</v>
      </c>
      <c r="C17" s="645">
        <f>SUM(C6:C16)</f>
        <v>0</v>
      </c>
      <c r="D17" s="110" t="s">
        <v>2018</v>
      </c>
      <c r="E17" s="645"/>
      <c r="F17" s="645"/>
    </row>
    <row r="18" spans="1:6" ht="14.25" customHeight="1">
      <c r="A18" s="90"/>
      <c r="B18" s="645"/>
      <c r="C18" s="645"/>
      <c r="D18" s="90" t="s">
        <v>533</v>
      </c>
      <c r="E18" s="645">
        <f>SUM(E6:E17)</f>
        <v>0</v>
      </c>
      <c r="F18" s="645">
        <f>SUM(F6:F17)</f>
        <v>0</v>
      </c>
    </row>
    <row r="19" spans="1:6" ht="14.25" customHeight="1">
      <c r="A19" s="78" t="s">
        <v>1794</v>
      </c>
      <c r="B19" s="645"/>
      <c r="C19" s="645"/>
      <c r="D19" s="78" t="s">
        <v>1795</v>
      </c>
      <c r="E19" s="645"/>
      <c r="F19" s="645"/>
    </row>
    <row r="20" spans="1:6" ht="14.25" customHeight="1">
      <c r="A20" s="90" t="s">
        <v>636</v>
      </c>
      <c r="B20" s="645"/>
      <c r="C20" s="645"/>
      <c r="D20" s="90" t="s">
        <v>537</v>
      </c>
      <c r="E20" s="645"/>
      <c r="F20" s="645"/>
    </row>
    <row r="21" spans="1:6" ht="14.25" customHeight="1">
      <c r="A21" s="90" t="s">
        <v>637</v>
      </c>
      <c r="B21" s="645">
        <f>B22-B23</f>
        <v>0</v>
      </c>
      <c r="C21" s="645">
        <f>C22-C23</f>
        <v>0</v>
      </c>
      <c r="D21" s="90" t="s">
        <v>539</v>
      </c>
      <c r="E21" s="645"/>
      <c r="F21" s="645"/>
    </row>
    <row r="22" spans="1:6" ht="14.25" customHeight="1">
      <c r="A22" s="90" t="s">
        <v>638</v>
      </c>
      <c r="B22" s="645"/>
      <c r="C22" s="645"/>
      <c r="D22" s="90" t="s">
        <v>545</v>
      </c>
      <c r="E22" s="645">
        <f>E20+E21</f>
        <v>0</v>
      </c>
      <c r="F22" s="645">
        <f>F20+F21</f>
        <v>0</v>
      </c>
    </row>
    <row r="23" spans="1:6" ht="14.25" customHeight="1">
      <c r="A23" s="90" t="s">
        <v>639</v>
      </c>
      <c r="B23" s="645"/>
      <c r="C23" s="645"/>
      <c r="D23" s="78" t="s">
        <v>1796</v>
      </c>
      <c r="E23" s="645">
        <f>E18+E22</f>
        <v>0</v>
      </c>
      <c r="F23" s="645">
        <f>F18+F22</f>
        <v>0</v>
      </c>
    </row>
    <row r="24" spans="1:6" ht="14.25" customHeight="1">
      <c r="A24" s="90" t="s">
        <v>551</v>
      </c>
      <c r="B24" s="645"/>
      <c r="C24" s="645"/>
      <c r="D24" s="78" t="s">
        <v>1797</v>
      </c>
      <c r="E24" s="645"/>
      <c r="F24" s="645"/>
    </row>
    <row r="25" spans="1:6" ht="14.25" customHeight="1">
      <c r="A25" s="110" t="s">
        <v>553</v>
      </c>
      <c r="B25" s="645"/>
      <c r="C25" s="645"/>
      <c r="D25" s="90" t="s">
        <v>641</v>
      </c>
      <c r="E25" s="645"/>
      <c r="F25" s="645"/>
    </row>
    <row r="26" spans="1:6" ht="14.25" customHeight="1">
      <c r="A26" s="90" t="s">
        <v>556</v>
      </c>
      <c r="B26" s="645">
        <f>B27-B28</f>
        <v>0</v>
      </c>
      <c r="C26" s="645">
        <f>C27-C28</f>
        <v>0</v>
      </c>
      <c r="D26" s="90" t="s">
        <v>642</v>
      </c>
      <c r="E26" s="645"/>
      <c r="F26" s="645"/>
    </row>
    <row r="27" spans="1:6" ht="14.25" customHeight="1">
      <c r="A27" s="90" t="s">
        <v>643</v>
      </c>
      <c r="B27" s="645"/>
      <c r="C27" s="645"/>
      <c r="D27" s="110" t="s">
        <v>644</v>
      </c>
      <c r="E27" s="645"/>
      <c r="F27" s="645"/>
    </row>
    <row r="28" spans="1:6" ht="14.25" customHeight="1">
      <c r="A28" s="90" t="s">
        <v>645</v>
      </c>
      <c r="B28" s="645"/>
      <c r="C28" s="645"/>
      <c r="D28" s="90" t="s">
        <v>646</v>
      </c>
      <c r="E28" s="645"/>
      <c r="F28" s="645"/>
    </row>
    <row r="29" spans="1:6" ht="14.25" customHeight="1">
      <c r="A29" s="90" t="s">
        <v>560</v>
      </c>
      <c r="B29" s="645"/>
      <c r="C29" s="645"/>
      <c r="D29" s="90" t="s">
        <v>647</v>
      </c>
      <c r="E29" s="645"/>
      <c r="F29" s="645"/>
    </row>
    <row r="30" spans="1:6" ht="14.25" customHeight="1">
      <c r="A30" s="90" t="s">
        <v>648</v>
      </c>
      <c r="B30" s="645"/>
      <c r="C30" s="645"/>
      <c r="D30" s="90" t="s">
        <v>649</v>
      </c>
      <c r="E30" s="645"/>
      <c r="F30" s="645"/>
    </row>
    <row r="31" spans="1:6" ht="14.25" customHeight="1">
      <c r="A31" s="90" t="s">
        <v>564</v>
      </c>
      <c r="B31" s="645">
        <f>B20+B21+SUM(B24:B26)+B30+B29</f>
        <v>0</v>
      </c>
      <c r="C31" s="645">
        <f>C20+C21+SUM(C24:C26)+C30+C29</f>
        <v>0</v>
      </c>
      <c r="D31" s="90" t="s">
        <v>650</v>
      </c>
      <c r="E31" s="645"/>
      <c r="F31" s="645"/>
    </row>
    <row r="32" spans="1:6" ht="14.25" customHeight="1">
      <c r="A32" s="90"/>
      <c r="B32" s="645"/>
      <c r="C32" s="645"/>
      <c r="D32" s="78" t="s">
        <v>1798</v>
      </c>
      <c r="E32" s="645">
        <f>SUM(E25:E31)</f>
        <v>0</v>
      </c>
      <c r="F32" s="645">
        <f>SUM(F25:F31)</f>
        <v>0</v>
      </c>
    </row>
    <row r="33" spans="1:6" ht="14.25" customHeight="1">
      <c r="A33" s="111" t="s">
        <v>1799</v>
      </c>
      <c r="B33" s="645">
        <f>B31+B17</f>
        <v>0</v>
      </c>
      <c r="C33" s="645">
        <f>C31+C17</f>
        <v>0</v>
      </c>
      <c r="D33" s="78" t="s">
        <v>653</v>
      </c>
      <c r="E33" s="645">
        <f>E23+E32</f>
        <v>0</v>
      </c>
      <c r="F33" s="645">
        <f>F23+F32</f>
        <v>0</v>
      </c>
    </row>
    <row r="34" spans="1:6" ht="14">
      <c r="A34" s="80"/>
      <c r="B34" s="81"/>
      <c r="C34" s="81"/>
    </row>
    <row r="35" spans="1:6" ht="14">
      <c r="A35" s="82"/>
      <c r="B35" s="82"/>
      <c r="C35" s="82"/>
    </row>
    <row r="36" spans="1:6" ht="14">
      <c r="A36" s="82"/>
      <c r="B36" s="82"/>
      <c r="C36" s="82"/>
    </row>
    <row r="37" spans="1:6" ht="14">
      <c r="A37" s="82"/>
      <c r="B37" s="82"/>
      <c r="C37" s="82"/>
    </row>
    <row r="38" spans="1:6" ht="14">
      <c r="A38" s="82"/>
      <c r="B38" s="82"/>
      <c r="C38" s="82"/>
    </row>
    <row r="39" spans="1:6" ht="14">
      <c r="A39" s="82"/>
      <c r="B39" s="82"/>
      <c r="C39" s="82"/>
    </row>
    <row r="40" spans="1:6" ht="14">
      <c r="A40" s="82"/>
      <c r="B40" s="82"/>
      <c r="C40" s="82"/>
    </row>
    <row r="41" spans="1:6" ht="14">
      <c r="A41" s="82"/>
      <c r="B41" s="82"/>
      <c r="C41" s="82"/>
    </row>
    <row r="42" spans="1:6" ht="14">
      <c r="A42" s="82"/>
      <c r="B42" s="82"/>
      <c r="C42" s="82"/>
    </row>
    <row r="43" spans="1:6" ht="14">
      <c r="A43" s="82"/>
      <c r="B43" s="82"/>
      <c r="C43" s="82"/>
    </row>
  </sheetData>
  <sheetProtection selectLockedCells="1"/>
  <mergeCells count="1">
    <mergeCell ref="A1:F1"/>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25"/>
  <sheetViews>
    <sheetView topLeftCell="A10" workbookViewId="0">
      <selection activeCell="B5" sqref="B5:C25"/>
    </sheetView>
  </sheetViews>
  <sheetFormatPr defaultRowHeight="14.25" customHeight="1"/>
  <cols>
    <col min="1" max="1" width="27.36328125" customWidth="1"/>
    <col min="2" max="3" width="20.6328125" customWidth="1"/>
    <col min="4" max="4" width="21.90625" customWidth="1"/>
    <col min="7" max="10" width="28.36328125" customWidth="1"/>
  </cols>
  <sheetData>
    <row r="1" spans="1:10" ht="29.15" customHeight="1">
      <c r="A1" s="680" t="s">
        <v>1670</v>
      </c>
      <c r="B1" s="680"/>
      <c r="C1" s="680"/>
      <c r="D1" s="85"/>
      <c r="E1" s="85"/>
      <c r="F1" s="85"/>
      <c r="G1" s="85"/>
      <c r="H1" s="85"/>
      <c r="I1" s="85"/>
      <c r="J1" s="85"/>
    </row>
    <row r="2" spans="1:10" ht="14.25" customHeight="1">
      <c r="A2" s="106"/>
      <c r="B2" s="106"/>
      <c r="C2" s="109" t="s">
        <v>654</v>
      </c>
    </row>
    <row r="3" spans="1:10" ht="14.25" customHeight="1">
      <c r="A3" s="379" t="s">
        <v>655</v>
      </c>
      <c r="B3" s="379"/>
      <c r="C3" s="109" t="s">
        <v>505</v>
      </c>
    </row>
    <row r="4" spans="1:10" ht="14.25" customHeight="1">
      <c r="A4" s="90" t="s">
        <v>569</v>
      </c>
      <c r="B4" s="91" t="s">
        <v>621</v>
      </c>
      <c r="C4" s="91" t="s">
        <v>571</v>
      </c>
    </row>
    <row r="5" spans="1:10" ht="14.25" customHeight="1">
      <c r="A5" s="90" t="s">
        <v>656</v>
      </c>
      <c r="B5" s="645"/>
      <c r="C5" s="645"/>
    </row>
    <row r="6" spans="1:10" ht="14.25" customHeight="1">
      <c r="A6" s="90" t="s">
        <v>657</v>
      </c>
      <c r="B6" s="645"/>
      <c r="C6" s="645"/>
    </row>
    <row r="7" spans="1:10" ht="14.25" customHeight="1">
      <c r="A7" s="90" t="s">
        <v>658</v>
      </c>
      <c r="B7" s="645"/>
      <c r="C7" s="645"/>
    </row>
    <row r="8" spans="1:10" ht="14.25" customHeight="1">
      <c r="A8" s="90" t="s">
        <v>659</v>
      </c>
      <c r="B8" s="645"/>
      <c r="C8" s="645"/>
    </row>
    <row r="9" spans="1:10" ht="14.25" customHeight="1">
      <c r="A9" s="90" t="s">
        <v>660</v>
      </c>
      <c r="B9" s="645">
        <f>B5+B6-B7-B8</f>
        <v>0</v>
      </c>
      <c r="C9" s="645">
        <f>C5+C6-C7-C8</f>
        <v>0</v>
      </c>
    </row>
    <row r="10" spans="1:10" ht="14.25" customHeight="1">
      <c r="A10" s="90" t="s">
        <v>661</v>
      </c>
      <c r="B10" s="645"/>
      <c r="C10" s="645"/>
    </row>
    <row r="11" spans="1:10" ht="14.25" customHeight="1">
      <c r="A11" s="90" t="s">
        <v>662</v>
      </c>
      <c r="B11" s="645"/>
      <c r="C11" s="645"/>
    </row>
    <row r="12" spans="1:10" ht="14.25" customHeight="1">
      <c r="A12" s="90" t="s">
        <v>663</v>
      </c>
      <c r="B12" s="645">
        <f>B9+B10-B11</f>
        <v>0</v>
      </c>
      <c r="C12" s="645">
        <f>C9+C10-C11</f>
        <v>0</v>
      </c>
    </row>
    <row r="13" spans="1:10" ht="14.25" customHeight="1">
      <c r="A13" s="90" t="s">
        <v>664</v>
      </c>
      <c r="B13" s="645"/>
      <c r="C13" s="645"/>
    </row>
    <row r="14" spans="1:10" ht="14.25" customHeight="1">
      <c r="A14" s="90" t="s">
        <v>665</v>
      </c>
      <c r="B14" s="645">
        <f>B12-B13</f>
        <v>0</v>
      </c>
      <c r="C14" s="645">
        <f>C12-C13</f>
        <v>0</v>
      </c>
    </row>
    <row r="15" spans="1:10" ht="14.25" customHeight="1">
      <c r="A15" s="90" t="s">
        <v>666</v>
      </c>
      <c r="B15" s="645"/>
      <c r="C15" s="645"/>
    </row>
    <row r="16" spans="1:10" ht="14.25" customHeight="1">
      <c r="A16" s="90" t="s">
        <v>667</v>
      </c>
      <c r="B16" s="645"/>
      <c r="C16" s="645"/>
    </row>
    <row r="17" spans="1:3" ht="14.25" customHeight="1">
      <c r="A17" s="90" t="s">
        <v>668</v>
      </c>
      <c r="B17" s="645"/>
      <c r="C17" s="645"/>
    </row>
    <row r="18" spans="1:3" ht="14.25" customHeight="1">
      <c r="A18" s="90" t="s">
        <v>669</v>
      </c>
      <c r="B18" s="645"/>
      <c r="C18" s="645"/>
    </row>
    <row r="19" spans="1:3" ht="14.25" customHeight="1">
      <c r="A19" s="90" t="s">
        <v>670</v>
      </c>
      <c r="B19" s="645"/>
      <c r="C19" s="645"/>
    </row>
    <row r="20" spans="1:3" ht="14.25" customHeight="1">
      <c r="A20" s="90" t="s">
        <v>671</v>
      </c>
      <c r="B20" s="645">
        <f>B14+B15+B16-B17-B18-B19</f>
        <v>0</v>
      </c>
      <c r="C20" s="645">
        <f>C14+C15+C16-C17-C18-C19</f>
        <v>0</v>
      </c>
    </row>
    <row r="21" spans="1:3" ht="14.25" customHeight="1">
      <c r="A21" s="90" t="s">
        <v>672</v>
      </c>
      <c r="B21" s="645"/>
      <c r="C21" s="645"/>
    </row>
    <row r="22" spans="1:3" ht="14.25" customHeight="1">
      <c r="A22" s="90" t="s">
        <v>673</v>
      </c>
      <c r="B22" s="645"/>
      <c r="C22" s="645"/>
    </row>
    <row r="23" spans="1:3" ht="14.25" customHeight="1">
      <c r="A23" s="90" t="s">
        <v>674</v>
      </c>
      <c r="B23" s="645">
        <f>B24-B25</f>
        <v>0</v>
      </c>
      <c r="C23" s="645">
        <f>C24-C25</f>
        <v>0</v>
      </c>
    </row>
    <row r="24" spans="1:3" ht="14.25" customHeight="1">
      <c r="A24" s="90" t="s">
        <v>675</v>
      </c>
      <c r="B24" s="645"/>
      <c r="C24" s="645"/>
    </row>
    <row r="25" spans="1:3" ht="14.25" customHeight="1">
      <c r="A25" s="90" t="s">
        <v>676</v>
      </c>
      <c r="B25" s="645"/>
      <c r="C25" s="645"/>
    </row>
  </sheetData>
  <sheetProtection selectLockedCells="1"/>
  <mergeCells count="1">
    <mergeCell ref="A1:C1"/>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59"/>
  <sheetViews>
    <sheetView topLeftCell="A22" workbookViewId="0">
      <selection activeCell="C18" sqref="C18"/>
    </sheetView>
  </sheetViews>
  <sheetFormatPr defaultColWidth="9" defaultRowHeight="13"/>
  <cols>
    <col min="1" max="1" width="46.453125" style="93" bestFit="1" customWidth="1"/>
    <col min="2" max="2" width="8.6328125" style="127" customWidth="1"/>
    <col min="3" max="4" width="20.6328125" style="94" customWidth="1"/>
    <col min="5" max="16384" width="9" style="93"/>
  </cols>
  <sheetData>
    <row r="1" spans="1:4" ht="29.15" customHeight="1">
      <c r="A1" s="684" t="s">
        <v>1667</v>
      </c>
      <c r="B1" s="684"/>
      <c r="C1" s="684"/>
      <c r="D1" s="685"/>
    </row>
    <row r="2" spans="1:4" ht="14.25" customHeight="1">
      <c r="A2" s="113"/>
      <c r="B2" s="114"/>
      <c r="C2" s="113"/>
      <c r="D2" s="115" t="s">
        <v>677</v>
      </c>
    </row>
    <row r="3" spans="1:4" ht="14.25" customHeight="1">
      <c r="A3" s="536" t="s">
        <v>678</v>
      </c>
      <c r="B3" s="536" t="s">
        <v>679</v>
      </c>
      <c r="C3" s="113"/>
      <c r="D3" s="116" t="s">
        <v>604</v>
      </c>
    </row>
    <row r="4" spans="1:4" ht="14.25" customHeight="1">
      <c r="A4" s="117" t="s">
        <v>680</v>
      </c>
      <c r="B4" s="118" t="s">
        <v>681</v>
      </c>
      <c r="C4" s="91" t="s">
        <v>621</v>
      </c>
      <c r="D4" s="91" t="s">
        <v>571</v>
      </c>
    </row>
    <row r="5" spans="1:4" ht="14.25" customHeight="1">
      <c r="A5" s="119" t="s">
        <v>682</v>
      </c>
      <c r="B5" s="120" t="s">
        <v>4</v>
      </c>
      <c r="C5" s="597"/>
      <c r="D5" s="597"/>
    </row>
    <row r="6" spans="1:4" ht="14.25" customHeight="1">
      <c r="A6" s="121" t="s">
        <v>683</v>
      </c>
      <c r="B6" s="120" t="s">
        <v>8</v>
      </c>
      <c r="C6" s="597"/>
      <c r="D6" s="597"/>
    </row>
    <row r="7" spans="1:4" ht="14.25" customHeight="1">
      <c r="A7" s="121" t="s">
        <v>684</v>
      </c>
      <c r="B7" s="120" t="s">
        <v>11</v>
      </c>
      <c r="C7" s="597"/>
      <c r="D7" s="597"/>
    </row>
    <row r="8" spans="1:4" ht="14.25" customHeight="1">
      <c r="A8" s="121" t="s">
        <v>685</v>
      </c>
      <c r="B8" s="120" t="s">
        <v>13</v>
      </c>
      <c r="C8" s="597"/>
      <c r="D8" s="597"/>
    </row>
    <row r="9" spans="1:4" ht="14.25" customHeight="1">
      <c r="A9" s="121" t="s">
        <v>686</v>
      </c>
      <c r="B9" s="120" t="s">
        <v>15</v>
      </c>
      <c r="C9" s="597"/>
      <c r="D9" s="597"/>
    </row>
    <row r="10" spans="1:4" ht="14.25" customHeight="1">
      <c r="A10" s="121" t="s">
        <v>687</v>
      </c>
      <c r="B10" s="120" t="s">
        <v>17</v>
      </c>
      <c r="C10" s="597"/>
      <c r="D10" s="597"/>
    </row>
    <row r="11" spans="1:4" ht="14.25" customHeight="1">
      <c r="A11" s="122" t="s">
        <v>688</v>
      </c>
      <c r="B11" s="120" t="s">
        <v>19</v>
      </c>
      <c r="C11" s="597">
        <f>SUM(C6:C10)</f>
        <v>0</v>
      </c>
      <c r="D11" s="597">
        <f>SUM(D6:D10)</f>
        <v>0</v>
      </c>
    </row>
    <row r="12" spans="1:4" ht="14.25" customHeight="1">
      <c r="A12" s="121" t="s">
        <v>689</v>
      </c>
      <c r="B12" s="120" t="s">
        <v>23</v>
      </c>
      <c r="C12" s="597"/>
      <c r="D12" s="597"/>
    </row>
    <row r="13" spans="1:4" ht="14.25" customHeight="1">
      <c r="A13" s="121" t="s">
        <v>690</v>
      </c>
      <c r="B13" s="120" t="s">
        <v>25</v>
      </c>
      <c r="C13" s="597"/>
      <c r="D13" s="597"/>
    </row>
    <row r="14" spans="1:4" ht="14.25" customHeight="1">
      <c r="A14" s="121" t="s">
        <v>691</v>
      </c>
      <c r="B14" s="120" t="s">
        <v>28</v>
      </c>
      <c r="C14" s="597"/>
      <c r="D14" s="597"/>
    </row>
    <row r="15" spans="1:4" ht="14.25" customHeight="1">
      <c r="A15" s="121" t="s">
        <v>692</v>
      </c>
      <c r="B15" s="120" t="s">
        <v>30</v>
      </c>
      <c r="C15" s="597"/>
      <c r="D15" s="597"/>
    </row>
    <row r="16" spans="1:4" ht="14.25" customHeight="1">
      <c r="A16" s="121" t="s">
        <v>693</v>
      </c>
      <c r="B16" s="120" t="s">
        <v>33</v>
      </c>
      <c r="C16" s="597"/>
      <c r="D16" s="597"/>
    </row>
    <row r="17" spans="1:4" ht="14.25" customHeight="1">
      <c r="A17" s="121" t="s">
        <v>694</v>
      </c>
      <c r="B17" s="120" t="s">
        <v>35</v>
      </c>
      <c r="C17" s="597"/>
      <c r="D17" s="597"/>
    </row>
    <row r="18" spans="1:4" ht="14.25" customHeight="1">
      <c r="A18" s="122" t="s">
        <v>695</v>
      </c>
      <c r="B18" s="120" t="s">
        <v>38</v>
      </c>
      <c r="C18" s="597">
        <f>SUM(C12:C17)</f>
        <v>0</v>
      </c>
      <c r="D18" s="597">
        <f>SUM(D12:D17)</f>
        <v>0</v>
      </c>
    </row>
    <row r="19" spans="1:4" ht="14.25" customHeight="1">
      <c r="A19" s="121" t="s">
        <v>696</v>
      </c>
      <c r="B19" s="120" t="s">
        <v>40</v>
      </c>
      <c r="C19" s="597">
        <f>C11-C18</f>
        <v>0</v>
      </c>
      <c r="D19" s="597">
        <f>D11-D18</f>
        <v>0</v>
      </c>
    </row>
    <row r="20" spans="1:4" ht="14.25" customHeight="1">
      <c r="A20" s="119" t="s">
        <v>278</v>
      </c>
      <c r="B20" s="120" t="s">
        <v>43</v>
      </c>
      <c r="C20" s="597"/>
      <c r="D20" s="597"/>
    </row>
    <row r="21" spans="1:4" ht="14.25" customHeight="1">
      <c r="A21" s="121" t="s">
        <v>697</v>
      </c>
      <c r="B21" s="120" t="s">
        <v>45</v>
      </c>
      <c r="C21" s="597"/>
      <c r="D21" s="597"/>
    </row>
    <row r="22" spans="1:4" ht="14.25" customHeight="1">
      <c r="A22" s="121" t="s">
        <v>698</v>
      </c>
      <c r="B22" s="120" t="s">
        <v>47</v>
      </c>
      <c r="C22" s="597"/>
      <c r="D22" s="597"/>
    </row>
    <row r="23" spans="1:4" ht="14.25" customHeight="1">
      <c r="A23" s="121" t="s">
        <v>699</v>
      </c>
      <c r="B23" s="120" t="s">
        <v>49</v>
      </c>
      <c r="C23" s="597"/>
      <c r="D23" s="597"/>
    </row>
    <row r="24" spans="1:4" ht="14.25" customHeight="1">
      <c r="A24" s="121" t="s">
        <v>700</v>
      </c>
      <c r="B24" s="120" t="s">
        <v>51</v>
      </c>
      <c r="C24" s="597"/>
      <c r="D24" s="597"/>
    </row>
    <row r="25" spans="1:4" ht="14.25" customHeight="1">
      <c r="A25" s="122" t="s">
        <v>688</v>
      </c>
      <c r="B25" s="120" t="s">
        <v>55</v>
      </c>
      <c r="C25" s="597">
        <f>SUM(C21:C24)</f>
        <v>0</v>
      </c>
      <c r="D25" s="597">
        <f>SUM(D21:D24)</f>
        <v>0</v>
      </c>
    </row>
    <row r="26" spans="1:4" ht="14.25" customHeight="1">
      <c r="A26" s="123" t="s">
        <v>701</v>
      </c>
      <c r="B26" s="120" t="s">
        <v>57</v>
      </c>
      <c r="C26" s="597"/>
      <c r="D26" s="597"/>
    </row>
    <row r="27" spans="1:4" ht="14.25" customHeight="1">
      <c r="A27" s="121" t="s">
        <v>702</v>
      </c>
      <c r="B27" s="120" t="s">
        <v>59</v>
      </c>
      <c r="C27" s="597"/>
      <c r="D27" s="597"/>
    </row>
    <row r="28" spans="1:4" ht="14.25" customHeight="1">
      <c r="A28" s="121" t="s">
        <v>703</v>
      </c>
      <c r="B28" s="120" t="s">
        <v>61</v>
      </c>
      <c r="C28" s="597"/>
      <c r="D28" s="597"/>
    </row>
    <row r="29" spans="1:4" ht="14.25" customHeight="1">
      <c r="A29" s="121" t="s">
        <v>704</v>
      </c>
      <c r="B29" s="120" t="s">
        <v>63</v>
      </c>
      <c r="C29" s="597"/>
      <c r="D29" s="597"/>
    </row>
    <row r="30" spans="1:4" ht="14.25" customHeight="1">
      <c r="A30" s="122" t="s">
        <v>695</v>
      </c>
      <c r="B30" s="120" t="s">
        <v>65</v>
      </c>
      <c r="C30" s="597">
        <f>SUM(C26:C29)</f>
        <v>0</v>
      </c>
      <c r="D30" s="597">
        <f>SUM(D26:D29)</f>
        <v>0</v>
      </c>
    </row>
    <row r="31" spans="1:4" ht="14.25" customHeight="1">
      <c r="A31" s="124" t="s">
        <v>705</v>
      </c>
      <c r="B31" s="120" t="s">
        <v>67</v>
      </c>
      <c r="C31" s="597">
        <f>C25-C30</f>
        <v>0</v>
      </c>
      <c r="D31" s="597">
        <f>D25-D30</f>
        <v>0</v>
      </c>
    </row>
    <row r="32" spans="1:4" ht="14.25" customHeight="1">
      <c r="A32" s="119" t="s">
        <v>249</v>
      </c>
      <c r="B32" s="120" t="s">
        <v>70</v>
      </c>
      <c r="C32" s="597"/>
      <c r="D32" s="597"/>
    </row>
    <row r="33" spans="1:4" ht="14.25" customHeight="1">
      <c r="A33" s="121" t="s">
        <v>706</v>
      </c>
      <c r="B33" s="120" t="s">
        <v>73</v>
      </c>
      <c r="C33" s="597"/>
      <c r="D33" s="597"/>
    </row>
    <row r="34" spans="1:4" ht="14.25" customHeight="1">
      <c r="A34" s="121" t="s">
        <v>707</v>
      </c>
      <c r="B34" s="120" t="s">
        <v>75</v>
      </c>
      <c r="C34" s="597"/>
      <c r="D34" s="597"/>
    </row>
    <row r="35" spans="1:4" ht="14.25" customHeight="1">
      <c r="A35" s="121" t="s">
        <v>708</v>
      </c>
      <c r="B35" s="120" t="s">
        <v>77</v>
      </c>
      <c r="C35" s="597"/>
      <c r="D35" s="597"/>
    </row>
    <row r="36" spans="1:4" ht="14.25" customHeight="1">
      <c r="A36" s="122" t="s">
        <v>688</v>
      </c>
      <c r="B36" s="120" t="s">
        <v>80</v>
      </c>
      <c r="C36" s="597">
        <f>SUM(C33:C35)</f>
        <v>0</v>
      </c>
      <c r="D36" s="597">
        <f>SUM(D33:D35)</f>
        <v>0</v>
      </c>
    </row>
    <row r="37" spans="1:4" ht="14.25" customHeight="1">
      <c r="A37" s="121" t="s">
        <v>709</v>
      </c>
      <c r="B37" s="120" t="s">
        <v>83</v>
      </c>
      <c r="C37" s="597"/>
      <c r="D37" s="597"/>
    </row>
    <row r="38" spans="1:4" ht="14.25" customHeight="1">
      <c r="A38" s="121" t="s">
        <v>710</v>
      </c>
      <c r="B38" s="120" t="s">
        <v>86</v>
      </c>
      <c r="C38" s="597"/>
      <c r="D38" s="597"/>
    </row>
    <row r="39" spans="1:4" ht="14.25" customHeight="1">
      <c r="A39" s="121" t="s">
        <v>711</v>
      </c>
      <c r="B39" s="120" t="s">
        <v>89</v>
      </c>
      <c r="C39" s="597"/>
      <c r="D39" s="597"/>
    </row>
    <row r="40" spans="1:4" ht="14.25" customHeight="1">
      <c r="A40" s="122" t="s">
        <v>695</v>
      </c>
      <c r="B40" s="120" t="s">
        <v>91</v>
      </c>
      <c r="C40" s="597">
        <f>SUM(C37:C39)</f>
        <v>0</v>
      </c>
      <c r="D40" s="597">
        <f>SUM(D37:D39)</f>
        <v>0</v>
      </c>
    </row>
    <row r="41" spans="1:4" ht="14.25" customHeight="1">
      <c r="A41" s="124" t="s">
        <v>712</v>
      </c>
      <c r="B41" s="120" t="s">
        <v>94</v>
      </c>
      <c r="C41" s="597">
        <f>C36-C40</f>
        <v>0</v>
      </c>
      <c r="D41" s="597">
        <f>D36-D40</f>
        <v>0</v>
      </c>
    </row>
    <row r="42" spans="1:4" ht="14.25" customHeight="1">
      <c r="A42" s="119" t="s">
        <v>713</v>
      </c>
      <c r="B42" s="120" t="s">
        <v>96</v>
      </c>
      <c r="C42" s="597"/>
      <c r="D42" s="597"/>
    </row>
    <row r="43" spans="1:4" ht="14.25" customHeight="1">
      <c r="A43" s="119" t="s">
        <v>714</v>
      </c>
      <c r="B43" s="120" t="s">
        <v>99</v>
      </c>
      <c r="C43" s="597"/>
      <c r="D43" s="597"/>
    </row>
    <row r="44" spans="1:4" s="97" customFormat="1" ht="14.25" customHeight="1">
      <c r="A44" s="95"/>
      <c r="B44" s="125"/>
      <c r="C44" s="126"/>
      <c r="D44" s="126"/>
    </row>
    <row r="45" spans="1:4" s="97" customFormat="1" ht="14.25" customHeight="1">
      <c r="A45" s="95"/>
      <c r="B45" s="125"/>
      <c r="C45" s="126"/>
      <c r="D45" s="126"/>
    </row>
    <row r="46" spans="1:4" s="97" customFormat="1" ht="14.25" customHeight="1">
      <c r="A46" s="95"/>
      <c r="B46" s="125"/>
      <c r="C46" s="126"/>
      <c r="D46" s="126"/>
    </row>
    <row r="47" spans="1:4" s="97" customFormat="1" ht="14.25" customHeight="1">
      <c r="A47" s="95"/>
      <c r="B47" s="125"/>
      <c r="C47" s="126"/>
      <c r="D47" s="126"/>
    </row>
    <row r="48" spans="1:4" s="97" customFormat="1" ht="14.25" customHeight="1">
      <c r="A48" s="95"/>
      <c r="B48" s="125"/>
      <c r="C48" s="126"/>
      <c r="D48" s="126"/>
    </row>
    <row r="49" spans="1:4" s="97" customFormat="1" ht="14.25" customHeight="1">
      <c r="A49" s="95"/>
      <c r="B49" s="125"/>
      <c r="C49" s="126"/>
      <c r="D49" s="126"/>
    </row>
    <row r="50" spans="1:4" s="97" customFormat="1" ht="14.25" customHeight="1">
      <c r="A50" s="95"/>
      <c r="B50" s="125"/>
      <c r="C50" s="126"/>
      <c r="D50" s="126"/>
    </row>
    <row r="51" spans="1:4" s="97" customFormat="1" ht="14.25" customHeight="1">
      <c r="A51" s="95"/>
      <c r="B51" s="125"/>
      <c r="C51" s="126"/>
      <c r="D51" s="126"/>
    </row>
    <row r="52" spans="1:4" s="97" customFormat="1" ht="14.25" customHeight="1">
      <c r="A52" s="95"/>
      <c r="B52" s="125"/>
      <c r="C52" s="126"/>
      <c r="D52" s="126"/>
    </row>
    <row r="53" spans="1:4" ht="14.25" customHeight="1">
      <c r="A53" s="98"/>
    </row>
    <row r="54" spans="1:4" ht="14.25" customHeight="1">
      <c r="A54" s="98"/>
    </row>
    <row r="55" spans="1:4" ht="14.25" customHeight="1">
      <c r="A55" s="98"/>
    </row>
    <row r="56" spans="1:4" ht="14.25" customHeight="1">
      <c r="A56" s="98"/>
    </row>
    <row r="57" spans="1:4" ht="14.25" customHeight="1">
      <c r="A57" s="98"/>
    </row>
    <row r="58" spans="1:4" ht="14.25" customHeight="1">
      <c r="A58" s="98"/>
    </row>
    <row r="59" spans="1:4" ht="14.25" customHeight="1">
      <c r="A59" s="98"/>
    </row>
  </sheetData>
  <sheetProtection selectLockedCells="1"/>
  <mergeCells count="1">
    <mergeCell ref="A1:D1"/>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D7"/>
  <sheetViews>
    <sheetView workbookViewId="0">
      <selection activeCell="B7" sqref="B7"/>
    </sheetView>
  </sheetViews>
  <sheetFormatPr defaultColWidth="9" defaultRowHeight="14.25" customHeight="1"/>
  <cols>
    <col min="1" max="1" width="23.6328125" style="106" customWidth="1"/>
    <col min="2" max="2" width="25.6328125" style="106" customWidth="1"/>
    <col min="3" max="3" width="25" style="106" customWidth="1"/>
    <col min="4" max="4" width="25.6328125" style="106" customWidth="1"/>
    <col min="5" max="16384" width="9" style="106"/>
  </cols>
  <sheetData>
    <row r="1" spans="1:4" ht="14.25" customHeight="1">
      <c r="A1" s="657" t="s">
        <v>1678</v>
      </c>
      <c r="B1" s="657"/>
      <c r="C1" s="657"/>
      <c r="D1" s="658"/>
    </row>
    <row r="2" spans="1:4" ht="14.25" customHeight="1">
      <c r="A2" s="429" t="s">
        <v>1918</v>
      </c>
      <c r="B2" s="500" t="s">
        <v>2017</v>
      </c>
      <c r="C2" s="381" t="s">
        <v>1915</v>
      </c>
      <c r="D2" s="584" t="s">
        <v>1682</v>
      </c>
    </row>
    <row r="3" spans="1:4" ht="14.25" customHeight="1">
      <c r="A3" s="429" t="s">
        <v>1919</v>
      </c>
      <c r="B3" s="500" t="s">
        <v>1682</v>
      </c>
      <c r="C3" s="382" t="s">
        <v>1920</v>
      </c>
      <c r="D3" s="584" t="s">
        <v>1682</v>
      </c>
    </row>
    <row r="4" spans="1:4" ht="14.25" customHeight="1">
      <c r="A4" s="382" t="s">
        <v>1921</v>
      </c>
      <c r="B4" s="584" t="s">
        <v>1682</v>
      </c>
      <c r="C4" s="382" t="s">
        <v>1922</v>
      </c>
      <c r="D4" s="584" t="s">
        <v>1682</v>
      </c>
    </row>
    <row r="5" spans="1:4" ht="14.25" customHeight="1">
      <c r="A5" s="382" t="s">
        <v>1912</v>
      </c>
      <c r="B5" s="584"/>
      <c r="C5" s="382" t="s">
        <v>1917</v>
      </c>
      <c r="D5" s="584"/>
    </row>
    <row r="6" spans="1:4" ht="14.25" customHeight="1">
      <c r="A6" s="382" t="s">
        <v>1913</v>
      </c>
      <c r="B6" s="584"/>
      <c r="C6" s="386" t="s">
        <v>1738</v>
      </c>
      <c r="D6" s="584" t="s">
        <v>1682</v>
      </c>
    </row>
    <row r="7" spans="1:4" ht="14.25" customHeight="1">
      <c r="A7" s="381" t="s">
        <v>1731</v>
      </c>
      <c r="B7" s="584"/>
      <c r="C7" s="381" t="s">
        <v>1739</v>
      </c>
      <c r="D7" s="584"/>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26"/>
  <sheetViews>
    <sheetView topLeftCell="A7" workbookViewId="0">
      <selection activeCell="E26" sqref="E26"/>
    </sheetView>
  </sheetViews>
  <sheetFormatPr defaultRowHeight="14"/>
  <cols>
    <col min="1" max="1" width="14.36328125" customWidth="1"/>
    <col min="2" max="3" width="20.6328125" style="507" customWidth="1"/>
    <col min="4" max="4" width="20.26953125" customWidth="1"/>
    <col min="5" max="6" width="20.6328125" style="507" customWidth="1"/>
  </cols>
  <sheetData>
    <row r="1" spans="1:6" s="344" customFormat="1" ht="29.15" customHeight="1">
      <c r="A1" s="686" t="s">
        <v>2003</v>
      </c>
      <c r="B1" s="686"/>
      <c r="C1" s="686"/>
      <c r="D1" s="686"/>
      <c r="E1" s="686"/>
      <c r="F1" s="686"/>
    </row>
    <row r="2" spans="1:6" ht="14.25" customHeight="1">
      <c r="A2" s="687" t="s">
        <v>715</v>
      </c>
      <c r="B2" s="687"/>
      <c r="C2" s="687"/>
      <c r="D2" s="687"/>
      <c r="E2" s="687"/>
      <c r="F2" s="687"/>
    </row>
    <row r="3" spans="1:6" ht="14.25" customHeight="1">
      <c r="A3" s="539" t="s">
        <v>2007</v>
      </c>
      <c r="B3" s="511"/>
      <c r="C3" s="512"/>
      <c r="D3" s="455"/>
      <c r="E3" s="513"/>
      <c r="F3" s="512" t="s">
        <v>717</v>
      </c>
    </row>
    <row r="4" spans="1:6" ht="14.25" customHeight="1">
      <c r="A4" s="130" t="s">
        <v>506</v>
      </c>
      <c r="B4" s="398" t="s">
        <v>615</v>
      </c>
      <c r="C4" s="399" t="s">
        <v>718</v>
      </c>
      <c r="D4" s="130" t="s">
        <v>719</v>
      </c>
      <c r="E4" s="131" t="s">
        <v>615</v>
      </c>
      <c r="F4" s="399" t="s">
        <v>718</v>
      </c>
    </row>
    <row r="5" spans="1:6" ht="14.25" customHeight="1">
      <c r="A5" s="133" t="s">
        <v>720</v>
      </c>
      <c r="B5" s="599"/>
      <c r="C5" s="600"/>
      <c r="D5" s="133" t="s">
        <v>721</v>
      </c>
      <c r="E5" s="583"/>
      <c r="F5" s="583"/>
    </row>
    <row r="6" spans="1:6" ht="14.25" customHeight="1">
      <c r="A6" s="135" t="s">
        <v>722</v>
      </c>
      <c r="B6" s="601"/>
      <c r="C6" s="602"/>
      <c r="D6" s="134" t="s">
        <v>723</v>
      </c>
      <c r="E6" s="583"/>
      <c r="F6" s="583"/>
    </row>
    <row r="7" spans="1:6" ht="14.25" customHeight="1">
      <c r="A7" s="136" t="s">
        <v>724</v>
      </c>
      <c r="B7" s="601"/>
      <c r="C7" s="602"/>
      <c r="D7" s="134" t="s">
        <v>725</v>
      </c>
      <c r="E7" s="583"/>
      <c r="F7" s="583"/>
    </row>
    <row r="8" spans="1:6" ht="14.25" customHeight="1">
      <c r="A8" s="135" t="s">
        <v>726</v>
      </c>
      <c r="B8" s="601"/>
      <c r="C8" s="602"/>
      <c r="D8" s="134" t="s">
        <v>727</v>
      </c>
      <c r="E8" s="583"/>
      <c r="F8" s="583"/>
    </row>
    <row r="9" spans="1:6" ht="14.25" customHeight="1">
      <c r="A9" s="135" t="s">
        <v>728</v>
      </c>
      <c r="B9" s="601"/>
      <c r="C9" s="602"/>
      <c r="D9" s="134" t="s">
        <v>729</v>
      </c>
      <c r="E9" s="583"/>
      <c r="F9" s="583"/>
    </row>
    <row r="10" spans="1:6" ht="14.25" customHeight="1">
      <c r="A10" s="135" t="s">
        <v>730</v>
      </c>
      <c r="B10" s="601"/>
      <c r="C10" s="602"/>
      <c r="D10" s="134" t="s">
        <v>731</v>
      </c>
      <c r="E10" s="583"/>
      <c r="F10" s="583"/>
    </row>
    <row r="11" spans="1:6" ht="14.25" customHeight="1">
      <c r="A11" s="135" t="s">
        <v>732</v>
      </c>
      <c r="B11" s="601"/>
      <c r="C11" s="602"/>
      <c r="D11" s="134" t="s">
        <v>733</v>
      </c>
      <c r="E11" s="583"/>
      <c r="F11" s="583"/>
    </row>
    <row r="12" spans="1:6" ht="14.25" customHeight="1">
      <c r="A12" s="137" t="s">
        <v>734</v>
      </c>
      <c r="B12" s="508">
        <f>ROUND(SUM(B6:B11),2)</f>
        <v>0</v>
      </c>
      <c r="C12" s="508">
        <f>ROUND(SUM(C6:C11),2)</f>
        <v>0</v>
      </c>
      <c r="D12" s="134" t="s">
        <v>735</v>
      </c>
      <c r="E12" s="583"/>
      <c r="F12" s="583"/>
    </row>
    <row r="13" spans="1:6" ht="14.25" customHeight="1">
      <c r="A13" s="137"/>
      <c r="B13" s="603"/>
      <c r="C13" s="604"/>
      <c r="D13" s="134" t="s">
        <v>736</v>
      </c>
      <c r="E13" s="583"/>
      <c r="F13" s="583"/>
    </row>
    <row r="14" spans="1:6" ht="14.25" customHeight="1">
      <c r="A14" s="137" t="s">
        <v>737</v>
      </c>
      <c r="B14" s="603"/>
      <c r="C14" s="604"/>
      <c r="D14" s="134" t="s">
        <v>738</v>
      </c>
      <c r="E14" s="583"/>
      <c r="F14" s="583"/>
    </row>
    <row r="15" spans="1:6" ht="14.25" customHeight="1">
      <c r="A15" s="135" t="s">
        <v>739</v>
      </c>
      <c r="B15" s="605"/>
      <c r="C15" s="606"/>
      <c r="D15" s="137" t="s">
        <v>740</v>
      </c>
      <c r="E15" s="508">
        <f>ROUND(SUM(E5:E14),2)</f>
        <v>0</v>
      </c>
      <c r="F15" s="508">
        <f>ROUND(SUM(F5:F14),2)</f>
        <v>0</v>
      </c>
    </row>
    <row r="16" spans="1:6" ht="14.25" customHeight="1">
      <c r="A16" s="135" t="s">
        <v>741</v>
      </c>
      <c r="B16" s="605"/>
      <c r="C16" s="606"/>
      <c r="D16" s="137"/>
      <c r="E16" s="603"/>
      <c r="F16" s="603"/>
    </row>
    <row r="17" spans="1:6" ht="14.25" customHeight="1">
      <c r="A17" s="135" t="s">
        <v>742</v>
      </c>
      <c r="B17" s="605"/>
      <c r="C17" s="606"/>
      <c r="D17" s="133" t="s">
        <v>743</v>
      </c>
      <c r="E17" s="583"/>
      <c r="F17" s="583"/>
    </row>
    <row r="18" spans="1:6" ht="14.25" customHeight="1">
      <c r="A18" s="137" t="s">
        <v>744</v>
      </c>
      <c r="B18" s="509">
        <f>ROUND(SUM(B14:B17),2)</f>
        <v>0</v>
      </c>
      <c r="C18" s="509">
        <f>ROUND(SUM(C14:C17),2)</f>
        <v>0</v>
      </c>
      <c r="D18" s="134" t="s">
        <v>745</v>
      </c>
      <c r="E18" s="583"/>
      <c r="F18" s="583"/>
    </row>
    <row r="19" spans="1:6" ht="14.25" customHeight="1">
      <c r="A19" s="137"/>
      <c r="B19" s="607"/>
      <c r="C19" s="607"/>
      <c r="D19" s="134" t="s">
        <v>746</v>
      </c>
      <c r="E19" s="583"/>
      <c r="F19" s="583"/>
    </row>
    <row r="20" spans="1:6" ht="14.25" customHeight="1">
      <c r="A20" s="138"/>
      <c r="B20" s="607"/>
      <c r="C20" s="607"/>
      <c r="D20" s="134" t="s">
        <v>747</v>
      </c>
      <c r="E20" s="583"/>
      <c r="F20" s="583"/>
    </row>
    <row r="21" spans="1:6" ht="14.25" customHeight="1">
      <c r="A21" s="139"/>
      <c r="B21" s="608"/>
      <c r="C21" s="609"/>
      <c r="D21" s="134" t="s">
        <v>748</v>
      </c>
      <c r="E21" s="583"/>
      <c r="F21" s="583"/>
    </row>
    <row r="22" spans="1:6" ht="14.25" customHeight="1">
      <c r="A22" s="139"/>
      <c r="B22" s="608"/>
      <c r="C22" s="609"/>
      <c r="D22" s="134" t="s">
        <v>749</v>
      </c>
      <c r="E22" s="583"/>
      <c r="F22" s="583"/>
    </row>
    <row r="23" spans="1:6" ht="14.25" customHeight="1">
      <c r="A23" s="139"/>
      <c r="B23" s="608"/>
      <c r="C23" s="609"/>
      <c r="D23" s="134" t="s">
        <v>750</v>
      </c>
      <c r="E23" s="583"/>
      <c r="F23" s="583"/>
    </row>
    <row r="24" spans="1:6" ht="14.25" customHeight="1">
      <c r="A24" s="139"/>
      <c r="B24" s="608"/>
      <c r="C24" s="609"/>
      <c r="D24" s="134" t="s">
        <v>751</v>
      </c>
      <c r="E24" s="583"/>
      <c r="F24" s="583"/>
    </row>
    <row r="25" spans="1:6" ht="14.25" customHeight="1">
      <c r="A25" s="139"/>
      <c r="B25" s="608"/>
      <c r="C25" s="609"/>
      <c r="D25" s="137" t="s">
        <v>752</v>
      </c>
      <c r="E25" s="508">
        <f>ROUND(SUM(E18:E24),2)</f>
        <v>0</v>
      </c>
      <c r="F25" s="508">
        <f>ROUND(SUM(F18:F24),2)</f>
        <v>0</v>
      </c>
    </row>
    <row r="26" spans="1:6" ht="14.25" customHeight="1">
      <c r="A26" s="140" t="s">
        <v>616</v>
      </c>
      <c r="B26" s="509">
        <f>ROUND(B12+B18,2)</f>
        <v>0</v>
      </c>
      <c r="C26" s="509">
        <f>ROUND(C12+C18,2)</f>
        <v>0</v>
      </c>
      <c r="D26" s="140" t="s">
        <v>753</v>
      </c>
      <c r="E26" s="508">
        <f>ROUND(E15+E25,2)</f>
        <v>0</v>
      </c>
      <c r="F26" s="508">
        <f>ROUND(F15+F25,2)</f>
        <v>0</v>
      </c>
    </row>
  </sheetData>
  <sheetProtection selectLockedCells="1"/>
  <protectedRanges>
    <protectedRange sqref="A3" name="区域2"/>
  </protectedRanges>
  <mergeCells count="2">
    <mergeCell ref="A1:F1"/>
    <mergeCell ref="A2:F2"/>
  </mergeCells>
  <phoneticPr fontId="1" type="noConversion"/>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32"/>
  <sheetViews>
    <sheetView workbookViewId="0">
      <selection activeCell="C27" sqref="C27"/>
    </sheetView>
  </sheetViews>
  <sheetFormatPr defaultColWidth="9" defaultRowHeight="14.5" customHeight="1"/>
  <cols>
    <col min="1" max="1" width="14.6328125" style="149" customWidth="1"/>
    <col min="2" max="2" width="24.90625" style="149" customWidth="1"/>
    <col min="3" max="4" width="20.6328125" style="149" customWidth="1"/>
    <col min="5" max="16384" width="9" style="149"/>
  </cols>
  <sheetData>
    <row r="1" spans="1:4" s="346" customFormat="1" ht="29.15" customHeight="1">
      <c r="A1" s="688" t="s">
        <v>2005</v>
      </c>
      <c r="B1" s="688"/>
      <c r="C1" s="688"/>
      <c r="D1" s="688"/>
    </row>
    <row r="2" spans="1:4" s="141" customFormat="1" ht="15">
      <c r="A2" s="689" t="s">
        <v>2006</v>
      </c>
      <c r="B2" s="689"/>
      <c r="C2" s="689"/>
      <c r="D2" s="689"/>
    </row>
    <row r="3" spans="1:4" s="141" customFormat="1" ht="15">
      <c r="A3" s="540" t="s">
        <v>1</v>
      </c>
      <c r="B3" s="453"/>
      <c r="C3" s="453"/>
      <c r="D3" s="454" t="s">
        <v>2004</v>
      </c>
    </row>
    <row r="4" spans="1:4" s="141" customFormat="1" ht="15">
      <c r="A4" s="142" t="s">
        <v>756</v>
      </c>
      <c r="B4" s="142"/>
      <c r="C4" s="143" t="s">
        <v>621</v>
      </c>
      <c r="D4" s="144" t="s">
        <v>571</v>
      </c>
    </row>
    <row r="5" spans="1:4" s="141" customFormat="1" ht="15">
      <c r="A5" s="145" t="s">
        <v>757</v>
      </c>
      <c r="B5" s="145"/>
      <c r="C5" s="610">
        <f>SUM(C6:C9)</f>
        <v>0</v>
      </c>
      <c r="D5" s="610">
        <f>SUM(D6:D9)</f>
        <v>0</v>
      </c>
    </row>
    <row r="6" spans="1:4" ht="15">
      <c r="A6" s="146"/>
      <c r="B6" s="147" t="s">
        <v>622</v>
      </c>
      <c r="C6" s="610"/>
      <c r="D6" s="611"/>
    </row>
    <row r="7" spans="1:4" ht="15">
      <c r="A7" s="142"/>
      <c r="B7" s="147" t="s">
        <v>758</v>
      </c>
      <c r="C7" s="610"/>
      <c r="D7" s="611"/>
    </row>
    <row r="8" spans="1:4" ht="15">
      <c r="A8" s="146"/>
      <c r="B8" s="147" t="s">
        <v>759</v>
      </c>
      <c r="C8" s="610"/>
      <c r="D8" s="611"/>
    </row>
    <row r="9" spans="1:4" ht="15">
      <c r="A9" s="146"/>
      <c r="B9" s="147" t="s">
        <v>760</v>
      </c>
      <c r="C9" s="610"/>
      <c r="D9" s="611"/>
    </row>
    <row r="10" spans="1:4" ht="15">
      <c r="A10" s="145" t="s">
        <v>761</v>
      </c>
      <c r="B10" s="145"/>
      <c r="C10" s="610">
        <f>SUM(C11,C14:C15)</f>
        <v>0</v>
      </c>
      <c r="D10" s="610">
        <f>SUM(D11,D14:D15)</f>
        <v>0</v>
      </c>
    </row>
    <row r="11" spans="1:4" ht="15">
      <c r="A11" s="146"/>
      <c r="B11" s="147" t="s">
        <v>762</v>
      </c>
      <c r="C11" s="610"/>
      <c r="D11" s="611"/>
    </row>
    <row r="12" spans="1:4" ht="15">
      <c r="A12" s="146"/>
      <c r="B12" s="147" t="s">
        <v>763</v>
      </c>
      <c r="C12" s="610"/>
      <c r="D12" s="611"/>
    </row>
    <row r="13" spans="1:4" ht="15">
      <c r="A13" s="146"/>
      <c r="B13" s="147" t="s">
        <v>764</v>
      </c>
      <c r="C13" s="610"/>
      <c r="D13" s="611"/>
    </row>
    <row r="14" spans="1:4" ht="15">
      <c r="A14" s="146"/>
      <c r="B14" s="147" t="s">
        <v>765</v>
      </c>
      <c r="C14" s="610"/>
      <c r="D14" s="611"/>
    </row>
    <row r="15" spans="1:4" s="141" customFormat="1" ht="15">
      <c r="A15" s="146"/>
      <c r="B15" s="147" t="s">
        <v>766</v>
      </c>
      <c r="C15" s="610"/>
      <c r="D15" s="611"/>
    </row>
    <row r="16" spans="1:4" ht="15">
      <c r="A16" s="145" t="s">
        <v>767</v>
      </c>
      <c r="B16" s="145"/>
      <c r="C16" s="610">
        <f>C5-C10</f>
        <v>0</v>
      </c>
      <c r="D16" s="610">
        <f>D5-D10</f>
        <v>0</v>
      </c>
    </row>
    <row r="17" spans="1:4" s="141" customFormat="1" ht="15">
      <c r="A17" s="146"/>
      <c r="B17" s="147" t="s">
        <v>768</v>
      </c>
      <c r="C17" s="610"/>
      <c r="D17" s="611"/>
    </row>
    <row r="18" spans="1:4" s="141" customFormat="1" ht="15">
      <c r="A18" s="150"/>
      <c r="B18" s="147" t="s">
        <v>769</v>
      </c>
      <c r="C18" s="610"/>
      <c r="D18" s="611"/>
    </row>
    <row r="19" spans="1:4" s="141" customFormat="1" ht="15">
      <c r="A19" s="145" t="s">
        <v>770</v>
      </c>
      <c r="B19" s="145"/>
      <c r="C19" s="610">
        <f>C16-C17-C18</f>
        <v>0</v>
      </c>
      <c r="D19" s="610">
        <f>D16-D17-D18</f>
        <v>0</v>
      </c>
    </row>
    <row r="20" spans="1:4" ht="15">
      <c r="A20" s="146"/>
      <c r="B20" s="147" t="s">
        <v>771</v>
      </c>
      <c r="C20" s="610"/>
      <c r="D20" s="611"/>
    </row>
    <row r="21" spans="1:4" ht="15">
      <c r="A21" s="145"/>
      <c r="B21" s="147" t="s">
        <v>772</v>
      </c>
      <c r="C21" s="610"/>
      <c r="D21" s="611"/>
    </row>
    <row r="22" spans="1:4" ht="15">
      <c r="A22" s="145"/>
      <c r="B22" s="147" t="s">
        <v>773</v>
      </c>
      <c r="C22" s="610"/>
      <c r="D22" s="611"/>
    </row>
    <row r="23" spans="1:4" ht="15">
      <c r="A23" s="145"/>
      <c r="B23" s="147" t="s">
        <v>774</v>
      </c>
      <c r="C23" s="610"/>
      <c r="D23" s="611"/>
    </row>
    <row r="24" spans="1:4" ht="15">
      <c r="A24" s="145"/>
      <c r="B24" s="147" t="s">
        <v>775</v>
      </c>
      <c r="C24" s="610"/>
      <c r="D24" s="611"/>
    </row>
    <row r="25" spans="1:4" ht="15">
      <c r="A25" s="145"/>
      <c r="B25" s="147" t="s">
        <v>776</v>
      </c>
      <c r="C25" s="610"/>
      <c r="D25" s="611"/>
    </row>
    <row r="26" spans="1:4" ht="15">
      <c r="A26" s="145"/>
      <c r="B26" s="147" t="s">
        <v>777</v>
      </c>
      <c r="C26" s="610"/>
      <c r="D26" s="611"/>
    </row>
    <row r="27" spans="1:4" ht="15">
      <c r="A27" s="145" t="s">
        <v>778</v>
      </c>
      <c r="B27" s="145"/>
      <c r="C27" s="610">
        <f>C19+C20+C21+C22-C23</f>
        <v>0</v>
      </c>
      <c r="D27" s="610">
        <f>D19+D20+D21+D22-D23</f>
        <v>0</v>
      </c>
    </row>
    <row r="28" spans="1:4" ht="15">
      <c r="A28" s="152"/>
      <c r="B28" s="152"/>
      <c r="C28" s="152"/>
      <c r="D28" s="153"/>
    </row>
    <row r="29" spans="1:4" ht="15">
      <c r="A29" s="148"/>
      <c r="B29" s="148"/>
      <c r="C29" s="148"/>
      <c r="D29" s="148"/>
    </row>
    <row r="30" spans="1:4" ht="15">
      <c r="A30" s="148"/>
      <c r="B30" s="148"/>
      <c r="C30" s="148"/>
      <c r="D30" s="148"/>
    </row>
    <row r="31" spans="1:4" ht="15">
      <c r="A31" s="148"/>
      <c r="B31" s="148"/>
      <c r="C31" s="148"/>
      <c r="D31" s="148"/>
    </row>
    <row r="32" spans="1:4" ht="15">
      <c r="A32" s="148"/>
      <c r="B32" s="148"/>
      <c r="C32" s="148"/>
      <c r="D32" s="148"/>
    </row>
  </sheetData>
  <sheetProtection selectLockedCells="1"/>
  <protectedRanges>
    <protectedRange sqref="A28:D28" name="区域3"/>
    <protectedRange sqref="A3:B3" name="区域1"/>
  </protectedRanges>
  <mergeCells count="2">
    <mergeCell ref="A1:D1"/>
    <mergeCell ref="A2:D2"/>
  </mergeCells>
  <phoneticPr fontId="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D7"/>
  <sheetViews>
    <sheetView workbookViewId="0">
      <selection activeCell="B2" sqref="B2"/>
    </sheetView>
  </sheetViews>
  <sheetFormatPr defaultColWidth="9" defaultRowHeight="14.25" customHeight="1"/>
  <cols>
    <col min="1" max="1" width="23.6328125" style="106" customWidth="1"/>
    <col min="2" max="2" width="25.6328125" style="106" customWidth="1"/>
    <col min="3" max="3" width="25" style="106" customWidth="1"/>
    <col min="4" max="4" width="25.6328125" style="210" customWidth="1"/>
    <col min="5" max="16384" width="9" style="106"/>
  </cols>
  <sheetData>
    <row r="1" spans="1:4" ht="14.25" customHeight="1">
      <c r="A1" s="657" t="s">
        <v>1678</v>
      </c>
      <c r="B1" s="657"/>
      <c r="C1" s="657"/>
      <c r="D1" s="658"/>
    </row>
    <row r="2" spans="1:4" ht="14.25" customHeight="1">
      <c r="A2" s="429" t="s">
        <v>1918</v>
      </c>
      <c r="B2" s="500" t="s">
        <v>2158</v>
      </c>
      <c r="C2" s="381" t="s">
        <v>1915</v>
      </c>
      <c r="D2" s="584" t="s">
        <v>1682</v>
      </c>
    </row>
    <row r="3" spans="1:4" ht="14.25" customHeight="1">
      <c r="A3" s="429" t="s">
        <v>1919</v>
      </c>
      <c r="B3" s="500" t="s">
        <v>1682</v>
      </c>
      <c r="C3" s="382" t="s">
        <v>1920</v>
      </c>
      <c r="D3" s="584" t="s">
        <v>1682</v>
      </c>
    </row>
    <row r="4" spans="1:4" ht="14.25" customHeight="1">
      <c r="A4" s="382" t="s">
        <v>1921</v>
      </c>
      <c r="B4" s="584" t="s">
        <v>1682</v>
      </c>
      <c r="C4" s="382" t="s">
        <v>1922</v>
      </c>
      <c r="D4" s="584" t="s">
        <v>1682</v>
      </c>
    </row>
    <row r="5" spans="1:4" ht="14.25" customHeight="1">
      <c r="A5" s="382" t="s">
        <v>1912</v>
      </c>
      <c r="B5" s="584"/>
      <c r="C5" s="382" t="s">
        <v>1917</v>
      </c>
      <c r="D5" s="584"/>
    </row>
    <row r="6" spans="1:4" ht="14.25" customHeight="1">
      <c r="A6" s="382" t="s">
        <v>1913</v>
      </c>
      <c r="B6" s="584"/>
      <c r="C6" s="386" t="s">
        <v>1738</v>
      </c>
      <c r="D6" s="584" t="s">
        <v>1682</v>
      </c>
    </row>
    <row r="7" spans="1:4" ht="14.25" customHeight="1">
      <c r="A7" s="381" t="s">
        <v>1731</v>
      </c>
      <c r="B7" s="584"/>
      <c r="C7" s="381" t="s">
        <v>1739</v>
      </c>
      <c r="D7" s="584"/>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34"/>
  <sheetViews>
    <sheetView topLeftCell="A16" workbookViewId="0">
      <selection activeCell="B16" sqref="B16"/>
    </sheetView>
  </sheetViews>
  <sheetFormatPr defaultRowHeight="14"/>
  <cols>
    <col min="1" max="1" width="14.7265625" customWidth="1"/>
    <col min="2" max="3" width="20.6328125" customWidth="1"/>
    <col min="4" max="4" width="17" customWidth="1"/>
    <col min="5" max="6" width="20.6328125" customWidth="1"/>
  </cols>
  <sheetData>
    <row r="1" spans="1:6" s="343" customFormat="1" ht="29.15" customHeight="1">
      <c r="A1" s="690" t="s">
        <v>1665</v>
      </c>
      <c r="B1" s="690"/>
      <c r="C1" s="690"/>
      <c r="D1" s="690"/>
      <c r="E1" s="690"/>
      <c r="F1" s="690"/>
    </row>
    <row r="2" spans="1:6">
      <c r="A2" s="456"/>
      <c r="B2" s="456"/>
      <c r="C2" s="456"/>
      <c r="D2" s="456"/>
      <c r="E2" s="456"/>
      <c r="F2" s="457" t="s">
        <v>779</v>
      </c>
    </row>
    <row r="3" spans="1:6">
      <c r="A3" s="542" t="s">
        <v>2115</v>
      </c>
      <c r="B3" s="456"/>
      <c r="C3" s="691" t="s">
        <v>780</v>
      </c>
      <c r="D3" s="691"/>
      <c r="E3" s="456"/>
      <c r="F3" s="457" t="s">
        <v>781</v>
      </c>
    </row>
    <row r="4" spans="1:6">
      <c r="A4" s="101" t="s">
        <v>782</v>
      </c>
      <c r="B4" s="101" t="s">
        <v>783</v>
      </c>
      <c r="C4" s="101" t="s">
        <v>784</v>
      </c>
      <c r="D4" s="101" t="s">
        <v>785</v>
      </c>
      <c r="E4" s="101" t="s">
        <v>783</v>
      </c>
      <c r="F4" s="102" t="s">
        <v>509</v>
      </c>
    </row>
    <row r="5" spans="1:6">
      <c r="A5" s="103" t="s">
        <v>786</v>
      </c>
      <c r="B5" s="612"/>
      <c r="C5" s="612"/>
      <c r="D5" s="103" t="s">
        <v>787</v>
      </c>
      <c r="E5" s="612"/>
      <c r="F5" s="612"/>
    </row>
    <row r="6" spans="1:6">
      <c r="A6" s="104" t="s">
        <v>788</v>
      </c>
      <c r="B6" s="613"/>
      <c r="C6" s="613"/>
      <c r="D6" s="104" t="s">
        <v>789</v>
      </c>
      <c r="E6" s="613"/>
      <c r="F6" s="613"/>
    </row>
    <row r="7" spans="1:6">
      <c r="A7" s="104" t="s">
        <v>790</v>
      </c>
      <c r="B7" s="613"/>
      <c r="C7" s="613"/>
      <c r="D7" s="104" t="s">
        <v>791</v>
      </c>
      <c r="E7" s="613"/>
      <c r="F7" s="613"/>
    </row>
    <row r="8" spans="1:6">
      <c r="A8" s="104" t="s">
        <v>792</v>
      </c>
      <c r="B8" s="613"/>
      <c r="C8" s="613"/>
      <c r="D8" s="104" t="s">
        <v>793</v>
      </c>
      <c r="E8" s="613"/>
      <c r="F8" s="613"/>
    </row>
    <row r="9" spans="1:6">
      <c r="A9" s="104" t="s">
        <v>794</v>
      </c>
      <c r="B9" s="613"/>
      <c r="C9" s="613"/>
      <c r="D9" s="104" t="s">
        <v>795</v>
      </c>
      <c r="E9" s="613"/>
      <c r="F9" s="613"/>
    </row>
    <row r="10" spans="1:6">
      <c r="A10" s="104" t="s">
        <v>796</v>
      </c>
      <c r="B10" s="613"/>
      <c r="C10" s="613"/>
      <c r="D10" s="104" t="s">
        <v>797</v>
      </c>
      <c r="E10" s="613"/>
      <c r="F10" s="613"/>
    </row>
    <row r="11" spans="1:6">
      <c r="A11" s="104" t="s">
        <v>798</v>
      </c>
      <c r="B11" s="613"/>
      <c r="C11" s="613"/>
      <c r="D11" s="104" t="s">
        <v>799</v>
      </c>
      <c r="E11" s="613"/>
      <c r="F11" s="613"/>
    </row>
    <row r="12" spans="1:6">
      <c r="A12" s="104" t="s">
        <v>800</v>
      </c>
      <c r="B12" s="613"/>
      <c r="C12" s="613"/>
      <c r="D12" s="104" t="s">
        <v>801</v>
      </c>
      <c r="E12" s="613"/>
      <c r="F12" s="613"/>
    </row>
    <row r="13" spans="1:6">
      <c r="A13" s="154" t="s">
        <v>802</v>
      </c>
      <c r="B13" s="613"/>
      <c r="C13" s="613"/>
      <c r="D13" s="104" t="s">
        <v>803</v>
      </c>
      <c r="E13" s="613"/>
      <c r="F13" s="613"/>
    </row>
    <row r="14" spans="1:6">
      <c r="A14" s="154" t="s">
        <v>804</v>
      </c>
      <c r="B14" s="613"/>
      <c r="C14" s="613"/>
      <c r="D14" s="104" t="s">
        <v>805</v>
      </c>
      <c r="E14" s="613"/>
      <c r="F14" s="613"/>
    </row>
    <row r="15" spans="1:6">
      <c r="A15" s="104" t="s">
        <v>806</v>
      </c>
      <c r="B15" s="613"/>
      <c r="C15" s="613"/>
      <c r="D15" s="104" t="s">
        <v>807</v>
      </c>
      <c r="E15" s="613"/>
      <c r="F15" s="613"/>
    </row>
    <row r="16" spans="1:6">
      <c r="A16" s="104" t="s">
        <v>808</v>
      </c>
      <c r="B16" s="613">
        <f>SUM(B6:B15)</f>
        <v>0</v>
      </c>
      <c r="C16" s="613">
        <f>SUM(C6:C15)</f>
        <v>0</v>
      </c>
      <c r="D16" s="104" t="s">
        <v>809</v>
      </c>
      <c r="E16" s="613">
        <f>SUM(E6:E15)</f>
        <v>0</v>
      </c>
      <c r="F16" s="613">
        <f>SUM(F6:F15)</f>
        <v>0</v>
      </c>
    </row>
    <row r="17" spans="1:6">
      <c r="A17" s="390" t="s">
        <v>1801</v>
      </c>
      <c r="B17" s="613"/>
      <c r="C17" s="613"/>
      <c r="D17" s="103" t="s">
        <v>810</v>
      </c>
      <c r="E17" s="613"/>
      <c r="F17" s="613"/>
    </row>
    <row r="18" spans="1:6">
      <c r="A18" s="104" t="s">
        <v>811</v>
      </c>
      <c r="B18" s="613"/>
      <c r="C18" s="613"/>
      <c r="D18" s="104" t="s">
        <v>812</v>
      </c>
      <c r="E18" s="613"/>
      <c r="F18" s="613"/>
    </row>
    <row r="19" spans="1:6">
      <c r="A19" s="104" t="s">
        <v>813</v>
      </c>
      <c r="B19" s="613">
        <f>B20-B21</f>
        <v>0</v>
      </c>
      <c r="C19" s="613">
        <f>C20-C21</f>
        <v>0</v>
      </c>
      <c r="D19" s="104" t="s">
        <v>814</v>
      </c>
      <c r="E19" s="613"/>
      <c r="F19" s="613"/>
    </row>
    <row r="20" spans="1:6">
      <c r="A20" s="104" t="s">
        <v>815</v>
      </c>
      <c r="B20" s="613"/>
      <c r="C20" s="613"/>
      <c r="D20" s="104" t="s">
        <v>816</v>
      </c>
      <c r="E20" s="613">
        <f>SUM(E18:E19)</f>
        <v>0</v>
      </c>
      <c r="F20" s="613">
        <f>SUM(F18:F19)</f>
        <v>0</v>
      </c>
    </row>
    <row r="21" spans="1:6">
      <c r="A21" s="104" t="s">
        <v>817</v>
      </c>
      <c r="B21" s="613"/>
      <c r="C21" s="613"/>
      <c r="D21" s="102" t="s">
        <v>1802</v>
      </c>
      <c r="E21" s="613">
        <f>E16+E20</f>
        <v>0</v>
      </c>
      <c r="F21" s="613">
        <f>F16+F20</f>
        <v>0</v>
      </c>
    </row>
    <row r="22" spans="1:6">
      <c r="A22" s="104" t="s">
        <v>818</v>
      </c>
      <c r="B22" s="613"/>
      <c r="C22" s="613"/>
      <c r="D22" s="103" t="s">
        <v>819</v>
      </c>
      <c r="E22" s="613"/>
      <c r="F22" s="613"/>
    </row>
    <row r="23" spans="1:6">
      <c r="A23" s="104" t="s">
        <v>820</v>
      </c>
      <c r="B23" s="613">
        <f>B24-B25</f>
        <v>0</v>
      </c>
      <c r="C23" s="613">
        <f>C24-C25</f>
        <v>0</v>
      </c>
      <c r="D23" s="104" t="s">
        <v>821</v>
      </c>
      <c r="E23" s="613"/>
      <c r="F23" s="613"/>
    </row>
    <row r="24" spans="1:6">
      <c r="A24" s="104" t="s">
        <v>822</v>
      </c>
      <c r="B24" s="613"/>
      <c r="C24" s="613"/>
      <c r="D24" s="104" t="s">
        <v>823</v>
      </c>
      <c r="E24" s="613"/>
      <c r="F24" s="613"/>
    </row>
    <row r="25" spans="1:6">
      <c r="A25" s="104" t="s">
        <v>824</v>
      </c>
      <c r="B25" s="613"/>
      <c r="C25" s="613"/>
      <c r="D25" s="104" t="s">
        <v>825</v>
      </c>
      <c r="E25" s="613"/>
      <c r="F25" s="613"/>
    </row>
    <row r="26" spans="1:6">
      <c r="A26" s="104" t="s">
        <v>826</v>
      </c>
      <c r="B26" s="613"/>
      <c r="C26" s="613"/>
      <c r="D26" s="104" t="s">
        <v>827</v>
      </c>
      <c r="E26" s="613"/>
      <c r="F26" s="613"/>
    </row>
    <row r="27" spans="1:6">
      <c r="A27" s="104" t="s">
        <v>828</v>
      </c>
      <c r="B27" s="613">
        <f>SUM(B18:B19,B22:B23,B26)</f>
        <v>0</v>
      </c>
      <c r="C27" s="613">
        <f>SUM(C18:C19,C22:C23,C26)</f>
        <v>0</v>
      </c>
      <c r="D27" s="104" t="s">
        <v>829</v>
      </c>
      <c r="E27" s="613"/>
      <c r="F27" s="613"/>
    </row>
    <row r="28" spans="1:6">
      <c r="A28" s="104"/>
      <c r="B28" s="613"/>
      <c r="C28" s="613"/>
      <c r="D28" s="104" t="s">
        <v>830</v>
      </c>
      <c r="E28" s="613"/>
      <c r="F28" s="613"/>
    </row>
    <row r="29" spans="1:6">
      <c r="A29" s="104"/>
      <c r="B29" s="613"/>
      <c r="C29" s="613"/>
      <c r="D29" s="104" t="s">
        <v>831</v>
      </c>
      <c r="E29" s="613">
        <f>SUM(E30:E31)</f>
        <v>0</v>
      </c>
      <c r="F29" s="613">
        <f>SUM(F30:F31)</f>
        <v>0</v>
      </c>
    </row>
    <row r="30" spans="1:6">
      <c r="A30" s="104"/>
      <c r="B30" s="613"/>
      <c r="C30" s="613"/>
      <c r="D30" s="104" t="s">
        <v>832</v>
      </c>
      <c r="E30" s="613"/>
      <c r="F30" s="613"/>
    </row>
    <row r="31" spans="1:6">
      <c r="A31" s="104"/>
      <c r="B31" s="613"/>
      <c r="C31" s="613"/>
      <c r="D31" s="104" t="s">
        <v>833</v>
      </c>
      <c r="E31" s="613"/>
      <c r="F31" s="613"/>
    </row>
    <row r="32" spans="1:6">
      <c r="A32" s="104"/>
      <c r="B32" s="613"/>
      <c r="C32" s="613"/>
      <c r="D32" s="101" t="s">
        <v>834</v>
      </c>
      <c r="E32" s="613">
        <f>SUM(E23:E29)</f>
        <v>0</v>
      </c>
      <c r="F32" s="613">
        <f>SUM(F23:F29)</f>
        <v>0</v>
      </c>
    </row>
    <row r="33" spans="1:6">
      <c r="A33" s="101" t="s">
        <v>835</v>
      </c>
      <c r="B33" s="613">
        <f>B16+B27</f>
        <v>0</v>
      </c>
      <c r="C33" s="613">
        <f>C16+C27</f>
        <v>0</v>
      </c>
      <c r="D33" s="101" t="s">
        <v>836</v>
      </c>
      <c r="E33" s="613">
        <f>E21+E32</f>
        <v>0</v>
      </c>
      <c r="F33" s="613">
        <f>F21+F32</f>
        <v>0</v>
      </c>
    </row>
    <row r="34" spans="1:6">
      <c r="B34" s="76"/>
      <c r="C34" s="76"/>
    </row>
  </sheetData>
  <sheetProtection selectLockedCells="1"/>
  <mergeCells count="2">
    <mergeCell ref="A1:F1"/>
    <mergeCell ref="C3:D3"/>
  </mergeCells>
  <phoneticPr fontId="1"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56"/>
  <sheetViews>
    <sheetView topLeftCell="A28" workbookViewId="0">
      <selection activeCell="B56" sqref="B56"/>
    </sheetView>
  </sheetViews>
  <sheetFormatPr defaultRowHeight="14"/>
  <cols>
    <col min="1" max="1" width="33" customWidth="1"/>
    <col min="2" max="3" width="20.6328125" customWidth="1"/>
  </cols>
  <sheetData>
    <row r="1" spans="1:3" s="343" customFormat="1" ht="29.15" customHeight="1">
      <c r="A1" s="683" t="s">
        <v>1800</v>
      </c>
      <c r="B1" s="683"/>
      <c r="C1" s="683"/>
    </row>
    <row r="2" spans="1:3" ht="14.5" customHeight="1">
      <c r="A2" s="100"/>
      <c r="B2" s="100"/>
      <c r="C2" s="105" t="s">
        <v>837</v>
      </c>
    </row>
    <row r="3" spans="1:3" ht="14.5" customHeight="1">
      <c r="A3" s="541" t="s">
        <v>838</v>
      </c>
      <c r="B3" s="541" t="s">
        <v>839</v>
      </c>
      <c r="C3" s="105" t="s">
        <v>614</v>
      </c>
    </row>
    <row r="4" spans="1:3" ht="14.5" customHeight="1">
      <c r="A4" s="101" t="s">
        <v>620</v>
      </c>
      <c r="B4" s="101" t="s">
        <v>840</v>
      </c>
      <c r="C4" s="102" t="s">
        <v>571</v>
      </c>
    </row>
    <row r="5" spans="1:3" ht="14.5" customHeight="1">
      <c r="A5" s="103" t="s">
        <v>841</v>
      </c>
      <c r="B5" s="573">
        <f>SUM(B6:B7)</f>
        <v>0</v>
      </c>
      <c r="C5" s="645">
        <f>SUM(C6:C7)</f>
        <v>0</v>
      </c>
    </row>
    <row r="6" spans="1:3" ht="14.5" customHeight="1">
      <c r="A6" s="104" t="s">
        <v>842</v>
      </c>
      <c r="B6" s="573"/>
      <c r="C6" s="614"/>
    </row>
    <row r="7" spans="1:3" ht="14.5" customHeight="1">
      <c r="A7" s="104" t="s">
        <v>843</v>
      </c>
      <c r="B7" s="573">
        <f>SUM(B8:B9)</f>
        <v>0</v>
      </c>
      <c r="C7" s="645">
        <f>SUM(C8:C9)</f>
        <v>0</v>
      </c>
    </row>
    <row r="8" spans="1:3" ht="14.5" customHeight="1">
      <c r="A8" s="104" t="s">
        <v>844</v>
      </c>
      <c r="B8" s="573"/>
      <c r="C8" s="614"/>
    </row>
    <row r="9" spans="1:3" ht="14.5" customHeight="1">
      <c r="A9" s="104" t="s">
        <v>845</v>
      </c>
      <c r="B9" s="573">
        <f>SUM(B10:B18)</f>
        <v>0</v>
      </c>
      <c r="C9" s="645">
        <f>SUM(C10:C18)</f>
        <v>0</v>
      </c>
    </row>
    <row r="10" spans="1:3" ht="14.5" customHeight="1">
      <c r="A10" s="104" t="s">
        <v>846</v>
      </c>
      <c r="B10" s="573"/>
      <c r="C10" s="614"/>
    </row>
    <row r="11" spans="1:3" ht="14.5" customHeight="1">
      <c r="A11" s="104" t="s">
        <v>847</v>
      </c>
      <c r="B11" s="573"/>
      <c r="C11" s="614"/>
    </row>
    <row r="12" spans="1:3" ht="14.5" customHeight="1">
      <c r="A12" s="104" t="s">
        <v>848</v>
      </c>
      <c r="B12" s="573"/>
      <c r="C12" s="614"/>
    </row>
    <row r="13" spans="1:3" ht="14.5" customHeight="1">
      <c r="A13" s="104" t="s">
        <v>849</v>
      </c>
      <c r="B13" s="573"/>
      <c r="C13" s="614"/>
    </row>
    <row r="14" spans="1:3" ht="14.5" customHeight="1">
      <c r="A14" s="104" t="s">
        <v>850</v>
      </c>
      <c r="B14" s="573"/>
      <c r="C14" s="614"/>
    </row>
    <row r="15" spans="1:3" ht="14.5" customHeight="1">
      <c r="A15" s="104" t="s">
        <v>851</v>
      </c>
      <c r="B15" s="573"/>
      <c r="C15" s="614"/>
    </row>
    <row r="16" spans="1:3" ht="14.5" customHeight="1">
      <c r="A16" s="154" t="s">
        <v>852</v>
      </c>
      <c r="B16" s="573"/>
      <c r="C16" s="614"/>
    </row>
    <row r="17" spans="1:3" ht="14.5" customHeight="1">
      <c r="A17" s="104" t="s">
        <v>853</v>
      </c>
      <c r="B17" s="573"/>
      <c r="C17" s="614"/>
    </row>
    <row r="18" spans="1:3" ht="14.5" customHeight="1">
      <c r="A18" s="104" t="s">
        <v>854</v>
      </c>
      <c r="B18" s="573"/>
      <c r="C18" s="614"/>
    </row>
    <row r="19" spans="1:3" ht="14.5" customHeight="1">
      <c r="A19" s="103" t="s">
        <v>855</v>
      </c>
      <c r="B19" s="573">
        <f>SUM(B20,B31)</f>
        <v>0</v>
      </c>
      <c r="C19" s="645">
        <f>SUM(C20,C31)</f>
        <v>0</v>
      </c>
    </row>
    <row r="20" spans="1:3" ht="14.5" customHeight="1">
      <c r="A20" s="104" t="s">
        <v>856</v>
      </c>
      <c r="B20" s="573">
        <f>SUM(B21:B22,B28:B30)</f>
        <v>0</v>
      </c>
      <c r="C20" s="645">
        <f>SUM(C21:C22,C28:C30)</f>
        <v>0</v>
      </c>
    </row>
    <row r="21" spans="1:3" ht="14.5" customHeight="1">
      <c r="A21" s="104" t="s">
        <v>857</v>
      </c>
      <c r="B21" s="573"/>
      <c r="C21" s="614"/>
    </row>
    <row r="22" spans="1:3" ht="14.5" customHeight="1">
      <c r="A22" s="104" t="s">
        <v>858</v>
      </c>
      <c r="B22" s="573"/>
      <c r="C22" s="614"/>
    </row>
    <row r="23" spans="1:3" ht="14.5" customHeight="1">
      <c r="A23" s="104" t="s">
        <v>859</v>
      </c>
      <c r="B23" s="573"/>
      <c r="C23" s="614"/>
    </row>
    <row r="24" spans="1:3" ht="14.5" customHeight="1">
      <c r="A24" s="104" t="s">
        <v>860</v>
      </c>
      <c r="B24" s="573"/>
      <c r="C24" s="614"/>
    </row>
    <row r="25" spans="1:3" ht="14.5" customHeight="1">
      <c r="A25" s="104" t="s">
        <v>861</v>
      </c>
      <c r="B25" s="573"/>
      <c r="C25" s="614"/>
    </row>
    <row r="26" spans="1:3" ht="14.5" customHeight="1">
      <c r="A26" s="104" t="s">
        <v>862</v>
      </c>
      <c r="B26" s="573"/>
      <c r="C26" s="614"/>
    </row>
    <row r="27" spans="1:3" ht="14.5" customHeight="1">
      <c r="A27" s="104" t="s">
        <v>863</v>
      </c>
      <c r="B27" s="573"/>
      <c r="C27" s="614"/>
    </row>
    <row r="28" spans="1:3" ht="14.5" customHeight="1">
      <c r="A28" s="104" t="s">
        <v>864</v>
      </c>
      <c r="B28" s="573"/>
      <c r="C28" s="614"/>
    </row>
    <row r="29" spans="1:3" ht="14.5" customHeight="1">
      <c r="A29" s="104" t="s">
        <v>865</v>
      </c>
      <c r="B29" s="573"/>
      <c r="C29" s="614"/>
    </row>
    <row r="30" spans="1:3" ht="14.5" customHeight="1">
      <c r="A30" s="104" t="s">
        <v>866</v>
      </c>
      <c r="B30" s="573"/>
      <c r="C30" s="614"/>
    </row>
    <row r="31" spans="1:3" ht="14.5" customHeight="1">
      <c r="A31" s="104" t="s">
        <v>867</v>
      </c>
      <c r="B31" s="573">
        <f>SUM(B32,B42:B45)</f>
        <v>0</v>
      </c>
      <c r="C31" s="645">
        <f>SUM(C32,C42:C45)</f>
        <v>0</v>
      </c>
    </row>
    <row r="32" spans="1:3" ht="14.5" customHeight="1">
      <c r="A32" s="104" t="s">
        <v>868</v>
      </c>
      <c r="B32" s="573"/>
      <c r="C32" s="614"/>
    </row>
    <row r="33" spans="1:3" ht="14.5" customHeight="1">
      <c r="A33" s="104" t="s">
        <v>869</v>
      </c>
      <c r="B33" s="573"/>
      <c r="C33" s="614"/>
    </row>
    <row r="34" spans="1:3" ht="14.5" customHeight="1">
      <c r="A34" s="104" t="s">
        <v>870</v>
      </c>
      <c r="B34" s="573"/>
      <c r="C34" s="614"/>
    </row>
    <row r="35" spans="1:3" ht="14.5" customHeight="1">
      <c r="A35" s="104" t="s">
        <v>871</v>
      </c>
      <c r="B35" s="573"/>
      <c r="C35" s="614"/>
    </row>
    <row r="36" spans="1:3" ht="14.5" customHeight="1">
      <c r="A36" s="104" t="s">
        <v>872</v>
      </c>
      <c r="B36" s="573"/>
      <c r="C36" s="614"/>
    </row>
    <row r="37" spans="1:3" ht="14.5" customHeight="1">
      <c r="A37" s="104" t="s">
        <v>873</v>
      </c>
      <c r="B37" s="573"/>
      <c r="C37" s="614"/>
    </row>
    <row r="38" spans="1:3" ht="14.5" customHeight="1">
      <c r="A38" s="104" t="s">
        <v>874</v>
      </c>
      <c r="B38" s="573"/>
      <c r="C38" s="614"/>
    </row>
    <row r="39" spans="1:3" ht="14.5" customHeight="1">
      <c r="A39" s="104" t="s">
        <v>875</v>
      </c>
      <c r="B39" s="573"/>
      <c r="C39" s="614"/>
    </row>
    <row r="40" spans="1:3" ht="14.5" customHeight="1">
      <c r="A40" s="104" t="s">
        <v>876</v>
      </c>
      <c r="B40" s="573"/>
      <c r="C40" s="614"/>
    </row>
    <row r="41" spans="1:3" ht="14.5" customHeight="1">
      <c r="A41" s="104" t="s">
        <v>877</v>
      </c>
      <c r="B41" s="573"/>
      <c r="C41" s="614"/>
    </row>
    <row r="42" spans="1:3" ht="14.5" customHeight="1">
      <c r="A42" s="104" t="s">
        <v>878</v>
      </c>
      <c r="B42" s="573"/>
      <c r="C42" s="614"/>
    </row>
    <row r="43" spans="1:3" ht="14.5" customHeight="1">
      <c r="A43" s="104" t="s">
        <v>879</v>
      </c>
      <c r="B43" s="573"/>
      <c r="C43" s="614"/>
    </row>
    <row r="44" spans="1:3" ht="14.5" customHeight="1">
      <c r="A44" s="104" t="s">
        <v>880</v>
      </c>
      <c r="B44" s="573"/>
      <c r="C44" s="614"/>
    </row>
    <row r="45" spans="1:3" ht="14.5" customHeight="1">
      <c r="A45" s="104" t="s">
        <v>881</v>
      </c>
      <c r="B45" s="573"/>
      <c r="C45" s="614"/>
    </row>
    <row r="46" spans="1:3" ht="14.5" customHeight="1">
      <c r="A46" s="103" t="s">
        <v>882</v>
      </c>
      <c r="B46" s="573">
        <f>B5-B19</f>
        <v>0</v>
      </c>
      <c r="C46" s="645">
        <f>C5-C19</f>
        <v>0</v>
      </c>
    </row>
    <row r="47" spans="1:3" ht="14.5" customHeight="1">
      <c r="A47" s="104" t="s">
        <v>883</v>
      </c>
      <c r="B47" s="573">
        <f>B6-B20</f>
        <v>0</v>
      </c>
      <c r="C47" s="645">
        <f>C6-C20</f>
        <v>0</v>
      </c>
    </row>
    <row r="48" spans="1:3" ht="14.5" customHeight="1">
      <c r="A48" s="104" t="s">
        <v>884</v>
      </c>
      <c r="B48" s="573">
        <f>B7-B32</f>
        <v>0</v>
      </c>
      <c r="C48" s="645">
        <f>C7-C32</f>
        <v>0</v>
      </c>
    </row>
    <row r="49" spans="1:3" ht="14.5" customHeight="1">
      <c r="A49" s="104" t="s">
        <v>885</v>
      </c>
      <c r="B49" s="573">
        <f>B17-B44</f>
        <v>0</v>
      </c>
      <c r="C49" s="645">
        <f>C17-C44</f>
        <v>0</v>
      </c>
    </row>
    <row r="50" spans="1:3" ht="14.5" customHeight="1">
      <c r="A50" s="103" t="s">
        <v>886</v>
      </c>
      <c r="B50" s="573"/>
      <c r="C50" s="614"/>
    </row>
    <row r="51" spans="1:3" ht="14.5" customHeight="1">
      <c r="A51" s="103" t="s">
        <v>887</v>
      </c>
      <c r="B51" s="573">
        <f>B48+B50</f>
        <v>0</v>
      </c>
      <c r="C51" s="645">
        <f>C48+C50</f>
        <v>0</v>
      </c>
    </row>
    <row r="52" spans="1:3" ht="14.5" customHeight="1">
      <c r="A52" s="104" t="s">
        <v>888</v>
      </c>
      <c r="B52" s="573"/>
      <c r="C52" s="614"/>
    </row>
    <row r="53" spans="1:3" ht="14.5" customHeight="1">
      <c r="A53" s="103" t="s">
        <v>889</v>
      </c>
      <c r="B53" s="573">
        <f>B51-B52</f>
        <v>0</v>
      </c>
      <c r="C53" s="645">
        <f>C51-C52</f>
        <v>0</v>
      </c>
    </row>
    <row r="54" spans="1:3" ht="14.5" customHeight="1">
      <c r="A54" s="104" t="s">
        <v>890</v>
      </c>
      <c r="B54" s="573"/>
      <c r="C54" s="614"/>
    </row>
    <row r="55" spans="1:3" ht="14.5" customHeight="1">
      <c r="A55" s="104" t="s">
        <v>891</v>
      </c>
      <c r="B55" s="573"/>
      <c r="C55" s="614"/>
    </row>
    <row r="56" spans="1:3" ht="14.5" customHeight="1">
      <c r="A56" s="103" t="s">
        <v>892</v>
      </c>
      <c r="B56" s="573">
        <f>B53-B54-B55</f>
        <v>0</v>
      </c>
      <c r="C56" s="645">
        <f>C53-C54-C55</f>
        <v>0</v>
      </c>
    </row>
  </sheetData>
  <sheetProtection selectLockedCells="1"/>
  <mergeCells count="1">
    <mergeCell ref="A1:C1"/>
  </mergeCells>
  <phoneticPr fontId="1" type="noConversion"/>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D7"/>
  <sheetViews>
    <sheetView workbookViewId="0">
      <selection activeCell="D5" sqref="D5"/>
    </sheetView>
  </sheetViews>
  <sheetFormatPr defaultColWidth="9" defaultRowHeight="14.25" customHeight="1"/>
  <cols>
    <col min="1" max="1" width="23.6328125" style="106" customWidth="1"/>
    <col min="2" max="2" width="25.6328125" style="106" customWidth="1"/>
    <col min="3" max="3" width="25" style="106" customWidth="1"/>
    <col min="4" max="4" width="25.6328125" style="106" customWidth="1"/>
    <col min="5" max="16384" width="9" style="106"/>
  </cols>
  <sheetData>
    <row r="1" spans="1:4" ht="14.25" customHeight="1">
      <c r="A1" s="657" t="s">
        <v>1678</v>
      </c>
      <c r="B1" s="657"/>
      <c r="C1" s="657"/>
      <c r="D1" s="658"/>
    </row>
    <row r="2" spans="1:4" ht="14.25" customHeight="1">
      <c r="A2" s="429" t="s">
        <v>1918</v>
      </c>
      <c r="B2" s="500" t="s">
        <v>1682</v>
      </c>
      <c r="C2" s="381" t="s">
        <v>1915</v>
      </c>
      <c r="D2" s="524" t="s">
        <v>1682</v>
      </c>
    </row>
    <row r="3" spans="1:4" ht="14.25" customHeight="1">
      <c r="A3" s="429" t="s">
        <v>1919</v>
      </c>
      <c r="B3" s="500" t="s">
        <v>1682</v>
      </c>
      <c r="C3" s="382" t="s">
        <v>1920</v>
      </c>
      <c r="D3" s="524" t="s">
        <v>1682</v>
      </c>
    </row>
    <row r="4" spans="1:4" ht="14.25" customHeight="1">
      <c r="A4" s="382" t="s">
        <v>1921</v>
      </c>
      <c r="B4" s="524" t="s">
        <v>1682</v>
      </c>
      <c r="C4" s="382" t="s">
        <v>1922</v>
      </c>
      <c r="D4" s="524" t="s">
        <v>1682</v>
      </c>
    </row>
    <row r="5" spans="1:4" ht="14.25" customHeight="1">
      <c r="A5" s="382" t="s">
        <v>1912</v>
      </c>
      <c r="B5" s="524"/>
      <c r="C5" s="382" t="s">
        <v>1917</v>
      </c>
      <c r="D5" s="524"/>
    </row>
    <row r="6" spans="1:4" ht="14.25" customHeight="1">
      <c r="A6" s="382" t="s">
        <v>1913</v>
      </c>
      <c r="B6" s="524"/>
      <c r="C6" s="386" t="s">
        <v>1738</v>
      </c>
      <c r="D6" s="524" t="s">
        <v>1682</v>
      </c>
    </row>
    <row r="7" spans="1:4" ht="14.25" customHeight="1">
      <c r="A7" s="381" t="s">
        <v>1731</v>
      </c>
      <c r="B7" s="524"/>
      <c r="C7" s="381" t="s">
        <v>1739</v>
      </c>
      <c r="D7" s="524"/>
    </row>
  </sheetData>
  <sheetProtection selectLockedCells="1"/>
  <mergeCells count="1">
    <mergeCell ref="A1:D1"/>
  </mergeCells>
  <phoneticPr fontId="1" type="noConversion"/>
  <dataValidations count="8">
    <dataValidation type="whole" operator="notEqual" allowBlank="1" showInputMessage="1" showErrorMessage="1" error="请输入整数" sqref="D5">
      <formula1>-99999</formula1>
    </dataValidation>
    <dataValidation type="whole" operator="notEqual" allowBlank="1" showInputMessage="1" showErrorMessage="1" error="请输入整数" sqref="B5">
      <formula1>-99999999</formula1>
    </dataValidation>
    <dataValidation type="list" allowBlank="1" showInputMessage="1" showErrorMessage="1" sqref="B4 D4">
      <formula1>"请选择,一月,二月,三月,四月,五月,六月,七月,八月,九月,十月,十一月,十二月"</formula1>
    </dataValidation>
    <dataValidation type="list" allowBlank="1" showInputMessage="1" showErrorMessage="1" sqref="D3">
      <formula1>"请选择,一季度,二季度,三季度,四季度"</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2">
      <formula1>"请选择,年度,季度,按月份"</formula1>
    </dataValidation>
    <dataValidation type="list" allowBlank="1" showInputMessage="1" showErrorMessage="1" sqref="B2">
      <formula1>"请选择,中央企业集团,上市公司,其它公司"</formula1>
    </dataValidation>
    <dataValidation type="list" allowBlank="1" showInputMessage="1" showErrorMessage="1" sqref="D6">
      <formula1>"请选择,无保留意见,保留意见,无保留意见带强调事项,否定意见,无法表示意见"</formula1>
    </dataValidation>
  </dataValidation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42"/>
  <sheetViews>
    <sheetView topLeftCell="A22" workbookViewId="0">
      <selection activeCell="B5" sqref="B5:C34"/>
    </sheetView>
  </sheetViews>
  <sheetFormatPr defaultRowHeight="15"/>
  <cols>
    <col min="1" max="1" width="15.08984375" style="160" customWidth="1"/>
    <col min="2" max="2" width="20.6328125" style="516" customWidth="1"/>
    <col min="3" max="3" width="20.6328125" style="160" customWidth="1"/>
    <col min="4" max="4" width="19.453125" customWidth="1"/>
    <col min="5" max="6" width="20.6328125" style="507" customWidth="1"/>
  </cols>
  <sheetData>
    <row r="1" spans="1:6" s="344" customFormat="1" ht="29.15" customHeight="1">
      <c r="A1" s="692" t="s">
        <v>1671</v>
      </c>
      <c r="B1" s="692"/>
      <c r="C1" s="692"/>
      <c r="D1" s="692"/>
      <c r="E1" s="692"/>
      <c r="F1" s="692"/>
    </row>
    <row r="2" spans="1:6" ht="14">
      <c r="A2" s="693" t="s">
        <v>715</v>
      </c>
      <c r="B2" s="693"/>
      <c r="C2" s="693"/>
      <c r="D2" s="693"/>
      <c r="E2" s="693"/>
      <c r="F2" s="693"/>
    </row>
    <row r="3" spans="1:6" ht="14">
      <c r="A3" s="543" t="s">
        <v>716</v>
      </c>
      <c r="B3" s="511"/>
      <c r="C3" s="395"/>
      <c r="D3" s="458"/>
      <c r="E3" s="518"/>
      <c r="F3" s="396" t="s">
        <v>717</v>
      </c>
    </row>
    <row r="4" spans="1:6" ht="14">
      <c r="A4" s="397" t="s">
        <v>506</v>
      </c>
      <c r="B4" s="398" t="s">
        <v>615</v>
      </c>
      <c r="C4" s="399" t="s">
        <v>718</v>
      </c>
      <c r="D4" s="397" t="s">
        <v>719</v>
      </c>
      <c r="E4" s="398" t="s">
        <v>615</v>
      </c>
      <c r="F4" s="399" t="s">
        <v>718</v>
      </c>
    </row>
    <row r="5" spans="1:6" ht="14">
      <c r="A5" s="400" t="s">
        <v>720</v>
      </c>
      <c r="B5" s="599"/>
      <c r="C5" s="600"/>
      <c r="D5" s="400" t="s">
        <v>721</v>
      </c>
      <c r="E5" s="573"/>
      <c r="F5" s="573"/>
    </row>
    <row r="6" spans="1:6" ht="14">
      <c r="A6" s="401" t="s">
        <v>722</v>
      </c>
      <c r="B6" s="601"/>
      <c r="C6" s="602"/>
      <c r="D6" s="205" t="s">
        <v>893</v>
      </c>
      <c r="E6" s="573"/>
      <c r="F6" s="573"/>
    </row>
    <row r="7" spans="1:6" ht="14">
      <c r="A7" s="401" t="s">
        <v>894</v>
      </c>
      <c r="B7" s="601"/>
      <c r="C7" s="602"/>
      <c r="D7" s="205" t="s">
        <v>895</v>
      </c>
      <c r="E7" s="573"/>
      <c r="F7" s="573"/>
    </row>
    <row r="8" spans="1:6" ht="14">
      <c r="A8" s="402" t="s">
        <v>724</v>
      </c>
      <c r="B8" s="601"/>
      <c r="C8" s="602"/>
      <c r="D8" s="205" t="s">
        <v>896</v>
      </c>
      <c r="E8" s="573"/>
      <c r="F8" s="573"/>
    </row>
    <row r="9" spans="1:6" ht="14">
      <c r="A9" s="402" t="s">
        <v>897</v>
      </c>
      <c r="B9" s="601"/>
      <c r="C9" s="602"/>
      <c r="D9" s="205" t="s">
        <v>898</v>
      </c>
      <c r="E9" s="573"/>
      <c r="F9" s="573"/>
    </row>
    <row r="10" spans="1:6" ht="14">
      <c r="A10" s="401" t="s">
        <v>899</v>
      </c>
      <c r="B10" s="601"/>
      <c r="C10" s="602"/>
      <c r="D10" s="205" t="s">
        <v>733</v>
      </c>
      <c r="E10" s="573"/>
      <c r="F10" s="573"/>
    </row>
    <row r="11" spans="1:6" ht="14">
      <c r="A11" s="401" t="s">
        <v>900</v>
      </c>
      <c r="B11" s="601"/>
      <c r="C11" s="602"/>
      <c r="D11" s="205" t="s">
        <v>901</v>
      </c>
      <c r="E11" s="573"/>
      <c r="F11" s="573"/>
    </row>
    <row r="12" spans="1:6" ht="14">
      <c r="A12" s="401" t="s">
        <v>728</v>
      </c>
      <c r="B12" s="601"/>
      <c r="C12" s="602"/>
      <c r="D12" s="205" t="s">
        <v>729</v>
      </c>
      <c r="E12" s="573"/>
      <c r="F12" s="573"/>
    </row>
    <row r="13" spans="1:6" ht="14">
      <c r="A13" s="401" t="s">
        <v>902</v>
      </c>
      <c r="B13" s="601"/>
      <c r="C13" s="602"/>
      <c r="D13" s="205" t="s">
        <v>903</v>
      </c>
      <c r="E13" s="573"/>
      <c r="F13" s="573"/>
    </row>
    <row r="14" spans="1:6" ht="14">
      <c r="A14" s="401" t="s">
        <v>904</v>
      </c>
      <c r="B14" s="601"/>
      <c r="C14" s="602"/>
      <c r="D14" s="205" t="s">
        <v>905</v>
      </c>
      <c r="E14" s="573"/>
      <c r="F14" s="573"/>
    </row>
    <row r="15" spans="1:6" ht="14">
      <c r="A15" s="403" t="s">
        <v>734</v>
      </c>
      <c r="B15" s="508">
        <f>ROUND(SUM(B6:B14),2)</f>
        <v>0</v>
      </c>
      <c r="C15" s="508">
        <f>ROUND(SUM(C6:C14),2)</f>
        <v>0</v>
      </c>
      <c r="D15" s="205" t="s">
        <v>906</v>
      </c>
      <c r="E15" s="573"/>
      <c r="F15" s="573"/>
    </row>
    <row r="16" spans="1:6" ht="14">
      <c r="A16" s="403" t="s">
        <v>907</v>
      </c>
      <c r="B16" s="603"/>
      <c r="C16" s="604"/>
      <c r="D16" s="403" t="s">
        <v>908</v>
      </c>
      <c r="E16" s="508">
        <f>ROUND(SUM(E6:E15),2)</f>
        <v>0</v>
      </c>
      <c r="F16" s="508">
        <f>ROUND(SUM(F6:F15),2)</f>
        <v>0</v>
      </c>
    </row>
    <row r="17" spans="1:6" ht="14">
      <c r="A17" s="401" t="s">
        <v>909</v>
      </c>
      <c r="B17" s="605"/>
      <c r="C17" s="606"/>
      <c r="D17" s="400" t="s">
        <v>910</v>
      </c>
      <c r="E17" s="573"/>
      <c r="F17" s="573"/>
    </row>
    <row r="18" spans="1:6" ht="14">
      <c r="A18" s="401" t="s">
        <v>911</v>
      </c>
      <c r="B18" s="605"/>
      <c r="C18" s="606"/>
      <c r="D18" s="401" t="s">
        <v>912</v>
      </c>
      <c r="E18" s="605"/>
      <c r="F18" s="605"/>
    </row>
    <row r="19" spans="1:6" ht="14">
      <c r="A19" s="401" t="s">
        <v>913</v>
      </c>
      <c r="B19" s="605"/>
      <c r="C19" s="606"/>
      <c r="D19" s="401" t="s">
        <v>914</v>
      </c>
      <c r="E19" s="605"/>
      <c r="F19" s="605"/>
    </row>
    <row r="20" spans="1:6" ht="14">
      <c r="A20" s="401" t="s">
        <v>915</v>
      </c>
      <c r="B20" s="605"/>
      <c r="C20" s="606"/>
      <c r="D20" s="404" t="s">
        <v>916</v>
      </c>
      <c r="E20" s="605"/>
      <c r="F20" s="605"/>
    </row>
    <row r="21" spans="1:6" ht="14">
      <c r="A21" s="401" t="s">
        <v>917</v>
      </c>
      <c r="B21" s="605"/>
      <c r="C21" s="606"/>
      <c r="D21" s="400" t="s">
        <v>918</v>
      </c>
      <c r="E21" s="508">
        <f>ROUND(SUM(E18:E20),2)</f>
        <v>0</v>
      </c>
      <c r="F21" s="508">
        <f>ROUND(SUM(F18:F20),2)</f>
        <v>0</v>
      </c>
    </row>
    <row r="22" spans="1:6" ht="14">
      <c r="A22" s="401" t="s">
        <v>919</v>
      </c>
      <c r="B22" s="605"/>
      <c r="C22" s="606"/>
      <c r="D22" s="400" t="s">
        <v>920</v>
      </c>
      <c r="E22" s="508">
        <f>ROUND(E16+E21,2)</f>
        <v>0</v>
      </c>
      <c r="F22" s="508">
        <f>ROUND(F16+F21,2)</f>
        <v>0</v>
      </c>
    </row>
    <row r="23" spans="1:6" ht="14">
      <c r="A23" s="401" t="s">
        <v>921</v>
      </c>
      <c r="B23" s="605"/>
      <c r="C23" s="606"/>
      <c r="D23" s="400" t="s">
        <v>640</v>
      </c>
      <c r="E23" s="573"/>
      <c r="F23" s="573"/>
    </row>
    <row r="24" spans="1:6" ht="14">
      <c r="A24" s="401" t="s">
        <v>922</v>
      </c>
      <c r="B24" s="605"/>
      <c r="C24" s="606"/>
      <c r="D24" s="401" t="s">
        <v>746</v>
      </c>
      <c r="E24" s="573"/>
      <c r="F24" s="573"/>
    </row>
    <row r="25" spans="1:6" ht="14">
      <c r="A25" s="401" t="s">
        <v>923</v>
      </c>
      <c r="B25" s="605"/>
      <c r="C25" s="606"/>
      <c r="D25" s="401" t="s">
        <v>924</v>
      </c>
      <c r="E25" s="573"/>
      <c r="F25" s="573"/>
    </row>
    <row r="26" spans="1:6" ht="14">
      <c r="A26" s="403" t="s">
        <v>925</v>
      </c>
      <c r="B26" s="509">
        <f>ROUND(SUM(B17:B18,B21:B22,B25),2)</f>
        <v>0</v>
      </c>
      <c r="C26" s="509">
        <f>ROUND(SUM(C16:C19),2)</f>
        <v>0</v>
      </c>
      <c r="D26" s="404" t="s">
        <v>747</v>
      </c>
      <c r="E26" s="573"/>
      <c r="F26" s="573"/>
    </row>
    <row r="27" spans="1:6" ht="14">
      <c r="A27" s="403"/>
      <c r="B27" s="607"/>
      <c r="C27" s="607"/>
      <c r="D27" s="404" t="s">
        <v>926</v>
      </c>
      <c r="E27" s="573"/>
      <c r="F27" s="573"/>
    </row>
    <row r="28" spans="1:6" ht="14">
      <c r="A28" s="405"/>
      <c r="B28" s="607"/>
      <c r="C28" s="607"/>
      <c r="D28" s="404" t="s">
        <v>927</v>
      </c>
      <c r="E28" s="573"/>
      <c r="F28" s="573"/>
    </row>
    <row r="29" spans="1:6" ht="14">
      <c r="A29" s="406"/>
      <c r="B29" s="608"/>
      <c r="C29" s="609"/>
      <c r="D29" s="404" t="s">
        <v>928</v>
      </c>
      <c r="E29" s="573"/>
      <c r="F29" s="573"/>
    </row>
    <row r="30" spans="1:6" ht="14">
      <c r="A30" s="406"/>
      <c r="B30" s="608"/>
      <c r="C30" s="609"/>
      <c r="D30" s="404" t="s">
        <v>929</v>
      </c>
      <c r="E30" s="573"/>
      <c r="F30" s="573"/>
    </row>
    <row r="31" spans="1:6" ht="14">
      <c r="A31" s="406"/>
      <c r="B31" s="608"/>
      <c r="C31" s="609"/>
      <c r="D31" s="404" t="s">
        <v>930</v>
      </c>
      <c r="E31" s="573"/>
      <c r="F31" s="573"/>
    </row>
    <row r="32" spans="1:6" ht="14">
      <c r="A32" s="406"/>
      <c r="B32" s="608"/>
      <c r="C32" s="609"/>
      <c r="D32" s="404" t="s">
        <v>931</v>
      </c>
      <c r="E32" s="573"/>
      <c r="F32" s="573"/>
    </row>
    <row r="33" spans="1:6" ht="14">
      <c r="A33" s="406"/>
      <c r="B33" s="608"/>
      <c r="C33" s="609"/>
      <c r="D33" s="403" t="s">
        <v>752</v>
      </c>
      <c r="E33" s="508">
        <f>ROUND(SUM(E24:E30),2)</f>
        <v>0</v>
      </c>
      <c r="F33" s="508">
        <f>ROUND(SUM(F24:F30),2)</f>
        <v>0</v>
      </c>
    </row>
    <row r="34" spans="1:6" ht="14">
      <c r="A34" s="406" t="s">
        <v>616</v>
      </c>
      <c r="B34" s="510">
        <f>ROUND(B15+B26,2)</f>
        <v>0</v>
      </c>
      <c r="C34" s="509">
        <f>ROUND(C15+C26,2)</f>
        <v>0</v>
      </c>
      <c r="D34" s="407" t="s">
        <v>753</v>
      </c>
      <c r="E34" s="508">
        <f>ROUND(E22+E33,2)</f>
        <v>0</v>
      </c>
      <c r="F34" s="508">
        <f>ROUND(F22+F33,2)</f>
        <v>0</v>
      </c>
    </row>
    <row r="35" spans="1:6">
      <c r="A35" s="155"/>
      <c r="B35" s="514"/>
      <c r="C35" s="149"/>
    </row>
    <row r="36" spans="1:6">
      <c r="A36" s="156"/>
      <c r="B36" s="515"/>
      <c r="C36" s="157"/>
    </row>
    <row r="37" spans="1:6">
      <c r="A37" s="156"/>
      <c r="C37" s="158"/>
    </row>
    <row r="38" spans="1:6">
      <c r="A38" s="156"/>
      <c r="B38" s="515"/>
      <c r="C38" s="157"/>
    </row>
    <row r="39" spans="1:6">
      <c r="A39" s="159"/>
      <c r="B39" s="517"/>
      <c r="C39" s="159"/>
    </row>
    <row r="40" spans="1:6">
      <c r="A40" s="159"/>
      <c r="B40" s="517"/>
      <c r="C40" s="159"/>
    </row>
    <row r="41" spans="1:6">
      <c r="A41" s="159"/>
      <c r="B41" s="517"/>
      <c r="C41" s="159"/>
    </row>
    <row r="42" spans="1:6">
      <c r="A42" s="159"/>
      <c r="B42" s="517"/>
      <c r="C42" s="159"/>
    </row>
  </sheetData>
  <sheetProtection selectLockedCells="1"/>
  <protectedRanges>
    <protectedRange sqref="A3" name="区域2"/>
    <protectedRange sqref="B35:C35" name="区域3"/>
  </protectedRanges>
  <mergeCells count="2">
    <mergeCell ref="A1:F1"/>
    <mergeCell ref="A2:F2"/>
  </mergeCells>
  <phoneticPr fontId="1" type="noConversion"/>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54"/>
  <sheetViews>
    <sheetView workbookViewId="0">
      <selection activeCell="C5" sqref="C5:D49"/>
    </sheetView>
  </sheetViews>
  <sheetFormatPr defaultColWidth="9" defaultRowHeight="12"/>
  <cols>
    <col min="1" max="1" width="32" style="164" customWidth="1"/>
    <col min="2" max="2" width="22.7265625" style="164" customWidth="1"/>
    <col min="3" max="4" width="20.6328125" style="164" customWidth="1"/>
    <col min="5" max="16384" width="9" style="164"/>
  </cols>
  <sheetData>
    <row r="1" spans="1:5" s="346" customFormat="1" ht="29.15" customHeight="1">
      <c r="A1" s="688" t="s">
        <v>1803</v>
      </c>
      <c r="B1" s="688"/>
      <c r="C1" s="688"/>
      <c r="D1" s="688"/>
      <c r="E1" s="345"/>
    </row>
    <row r="2" spans="1:5" s="162" customFormat="1" ht="14.5" customHeight="1">
      <c r="A2" s="689" t="s">
        <v>754</v>
      </c>
      <c r="B2" s="689"/>
      <c r="C2" s="689"/>
      <c r="D2" s="689"/>
      <c r="E2" s="161"/>
    </row>
    <row r="3" spans="1:5" s="162" customFormat="1" ht="14.5" customHeight="1">
      <c r="A3" s="540" t="s">
        <v>1</v>
      </c>
      <c r="B3" s="453"/>
      <c r="C3" s="453"/>
      <c r="D3" s="454" t="s">
        <v>755</v>
      </c>
      <c r="E3" s="161"/>
    </row>
    <row r="4" spans="1:5" s="162" customFormat="1" ht="14.5" customHeight="1">
      <c r="A4" s="142" t="s">
        <v>756</v>
      </c>
      <c r="B4" s="142"/>
      <c r="C4" s="143" t="s">
        <v>621</v>
      </c>
      <c r="D4" s="144" t="s">
        <v>571</v>
      </c>
      <c r="E4" s="161"/>
    </row>
    <row r="5" spans="1:5" s="162" customFormat="1" ht="14.5" customHeight="1">
      <c r="A5" s="145" t="s">
        <v>932</v>
      </c>
      <c r="B5" s="145"/>
      <c r="C5" s="610">
        <f>C6+C10+SUM(C14:C17)</f>
        <v>0</v>
      </c>
      <c r="D5" s="610">
        <f>D6+D10+SUM(D14:D17)</f>
        <v>0</v>
      </c>
      <c r="E5" s="161"/>
    </row>
    <row r="6" spans="1:5" s="162" customFormat="1" ht="14.5" customHeight="1">
      <c r="A6" s="146" t="s">
        <v>933</v>
      </c>
      <c r="B6" s="408"/>
      <c r="C6" s="610">
        <f>SUM(C7:C9)</f>
        <v>0</v>
      </c>
      <c r="D6" s="610">
        <f>SUM(D7:D9)</f>
        <v>0</v>
      </c>
      <c r="E6" s="161"/>
    </row>
    <row r="7" spans="1:5" ht="14.5" customHeight="1">
      <c r="A7" s="409"/>
      <c r="B7" s="410" t="s">
        <v>934</v>
      </c>
      <c r="C7" s="610"/>
      <c r="D7" s="611"/>
      <c r="E7" s="163"/>
    </row>
    <row r="8" spans="1:5" ht="14.5" customHeight="1">
      <c r="A8" s="142"/>
      <c r="B8" s="147" t="s">
        <v>935</v>
      </c>
      <c r="C8" s="610"/>
      <c r="D8" s="611"/>
      <c r="E8" s="163"/>
    </row>
    <row r="9" spans="1:5" ht="14.5" customHeight="1">
      <c r="A9" s="146"/>
      <c r="B9" s="147" t="s">
        <v>936</v>
      </c>
      <c r="C9" s="610"/>
      <c r="D9" s="611"/>
      <c r="E9" s="163"/>
    </row>
    <row r="10" spans="1:5" ht="14.5" customHeight="1">
      <c r="A10" s="146" t="s">
        <v>937</v>
      </c>
      <c r="B10" s="147"/>
      <c r="C10" s="610">
        <f>SUM(C11:C13)</f>
        <v>0</v>
      </c>
      <c r="D10" s="610">
        <f>SUM(D11:D13)</f>
        <v>0</v>
      </c>
      <c r="E10" s="163"/>
    </row>
    <row r="11" spans="1:5" ht="14.5" customHeight="1">
      <c r="A11" s="146"/>
      <c r="B11" s="147" t="s">
        <v>938</v>
      </c>
      <c r="C11" s="610"/>
      <c r="D11" s="611"/>
      <c r="E11" s="163"/>
    </row>
    <row r="12" spans="1:5" ht="14.5" customHeight="1">
      <c r="A12" s="146"/>
      <c r="B12" s="147" t="s">
        <v>939</v>
      </c>
      <c r="C12" s="610"/>
      <c r="D12" s="611"/>
      <c r="E12" s="163"/>
    </row>
    <row r="13" spans="1:5" ht="14.5" customHeight="1">
      <c r="A13" s="146"/>
      <c r="B13" s="147" t="s">
        <v>940</v>
      </c>
      <c r="C13" s="610"/>
      <c r="D13" s="611"/>
      <c r="E13" s="163"/>
    </row>
    <row r="14" spans="1:5" ht="14.5" customHeight="1">
      <c r="A14" s="146" t="s">
        <v>941</v>
      </c>
      <c r="B14" s="147"/>
      <c r="C14" s="610"/>
      <c r="D14" s="611"/>
      <c r="E14" s="163"/>
    </row>
    <row r="15" spans="1:5" ht="14.5" customHeight="1">
      <c r="A15" s="146" t="s">
        <v>942</v>
      </c>
      <c r="B15" s="147"/>
      <c r="C15" s="610"/>
      <c r="D15" s="611"/>
      <c r="E15" s="163"/>
    </row>
    <row r="16" spans="1:5" ht="14.5" customHeight="1">
      <c r="A16" s="146" t="s">
        <v>943</v>
      </c>
      <c r="B16" s="147"/>
      <c r="C16" s="610"/>
      <c r="D16" s="611"/>
    </row>
    <row r="17" spans="1:5" ht="14.5" customHeight="1">
      <c r="A17" s="146" t="s">
        <v>944</v>
      </c>
      <c r="B17" s="147"/>
      <c r="C17" s="610"/>
      <c r="D17" s="611"/>
      <c r="E17" s="163"/>
    </row>
    <row r="18" spans="1:5" ht="14.5" customHeight="1">
      <c r="A18" s="146"/>
      <c r="B18" s="411" t="s">
        <v>940</v>
      </c>
      <c r="C18" s="610"/>
      <c r="D18" s="611"/>
      <c r="E18" s="163"/>
    </row>
    <row r="19" spans="1:5" ht="14.5" customHeight="1">
      <c r="A19" s="146"/>
      <c r="B19" s="411" t="s">
        <v>945</v>
      </c>
      <c r="C19" s="610"/>
      <c r="D19" s="611"/>
      <c r="E19" s="163"/>
    </row>
    <row r="20" spans="1:5" ht="14.5" customHeight="1">
      <c r="A20" s="146"/>
      <c r="B20" s="411" t="s">
        <v>946</v>
      </c>
      <c r="C20" s="610"/>
      <c r="D20" s="611"/>
      <c r="E20" s="163"/>
    </row>
    <row r="21" spans="1:5" ht="14.5" customHeight="1">
      <c r="A21" s="145" t="s">
        <v>947</v>
      </c>
      <c r="B21" s="145"/>
      <c r="C21" s="610"/>
      <c r="D21" s="611"/>
      <c r="E21" s="163"/>
    </row>
    <row r="22" spans="1:5" ht="14.5" customHeight="1">
      <c r="A22" s="146" t="s">
        <v>948</v>
      </c>
      <c r="B22" s="147"/>
      <c r="C22" s="610">
        <f>SUM(C23:C27)</f>
        <v>0</v>
      </c>
      <c r="D22" s="611"/>
      <c r="E22" s="163"/>
    </row>
    <row r="23" spans="1:5" ht="14.5" customHeight="1">
      <c r="A23" s="146"/>
      <c r="B23" s="147" t="s">
        <v>949</v>
      </c>
      <c r="C23" s="610"/>
      <c r="D23" s="611"/>
      <c r="E23" s="163"/>
    </row>
    <row r="24" spans="1:5" ht="14.5" customHeight="1">
      <c r="A24" s="146"/>
      <c r="B24" s="147" t="s">
        <v>950</v>
      </c>
      <c r="C24" s="610"/>
      <c r="D24" s="611"/>
      <c r="E24" s="163"/>
    </row>
    <row r="25" spans="1:5" ht="14.5" customHeight="1">
      <c r="A25" s="146"/>
      <c r="B25" s="147" t="s">
        <v>951</v>
      </c>
      <c r="C25" s="610"/>
      <c r="D25" s="611"/>
      <c r="E25" s="163"/>
    </row>
    <row r="26" spans="1:5" ht="14.5" customHeight="1">
      <c r="A26" s="146"/>
      <c r="B26" s="147" t="s">
        <v>952</v>
      </c>
      <c r="C26" s="610"/>
      <c r="D26" s="611"/>
      <c r="E26" s="163"/>
    </row>
    <row r="27" spans="1:5" s="162" customFormat="1" ht="14.5" customHeight="1">
      <c r="A27" s="146"/>
      <c r="B27" s="147" t="s">
        <v>953</v>
      </c>
      <c r="C27" s="610"/>
      <c r="D27" s="611"/>
      <c r="E27" s="161"/>
    </row>
    <row r="28" spans="1:5" s="162" customFormat="1" ht="14.5" customHeight="1">
      <c r="A28" s="146" t="s">
        <v>954</v>
      </c>
      <c r="B28" s="411"/>
      <c r="C28" s="610">
        <f>SUM(C35:C38)+C29</f>
        <v>0</v>
      </c>
      <c r="D28" s="611"/>
      <c r="E28" s="161"/>
    </row>
    <row r="29" spans="1:5" s="162" customFormat="1" ht="14.5" customHeight="1">
      <c r="A29" s="146"/>
      <c r="B29" s="411" t="s">
        <v>955</v>
      </c>
      <c r="C29" s="610">
        <f>SUM(C30:C34)</f>
        <v>0</v>
      </c>
      <c r="D29" s="611"/>
      <c r="E29" s="161"/>
    </row>
    <row r="30" spans="1:5" s="162" customFormat="1" ht="14.5" customHeight="1">
      <c r="A30" s="146"/>
      <c r="B30" s="411" t="s">
        <v>956</v>
      </c>
      <c r="C30" s="610"/>
      <c r="D30" s="611"/>
      <c r="E30" s="161"/>
    </row>
    <row r="31" spans="1:5" s="162" customFormat="1" ht="14.5" customHeight="1">
      <c r="A31" s="146"/>
      <c r="B31" s="411" t="s">
        <v>957</v>
      </c>
      <c r="C31" s="610"/>
      <c r="D31" s="611"/>
      <c r="E31" s="161"/>
    </row>
    <row r="32" spans="1:5" s="162" customFormat="1" ht="14.5" customHeight="1">
      <c r="A32" s="146"/>
      <c r="B32" s="411" t="s">
        <v>958</v>
      </c>
      <c r="C32" s="610"/>
      <c r="D32" s="611"/>
      <c r="E32" s="161"/>
    </row>
    <row r="33" spans="1:5" s="162" customFormat="1" ht="14.5" customHeight="1">
      <c r="A33" s="146"/>
      <c r="B33" s="147" t="s">
        <v>959</v>
      </c>
      <c r="C33" s="610"/>
      <c r="D33" s="611"/>
      <c r="E33" s="161"/>
    </row>
    <row r="34" spans="1:5" s="162" customFormat="1" ht="14.5" customHeight="1">
      <c r="A34" s="146"/>
      <c r="B34" s="147" t="s">
        <v>960</v>
      </c>
      <c r="C34" s="610"/>
      <c r="D34" s="611"/>
      <c r="E34" s="161"/>
    </row>
    <row r="35" spans="1:5" s="162" customFormat="1" ht="14.5" customHeight="1">
      <c r="A35" s="146"/>
      <c r="B35" s="411" t="s">
        <v>961</v>
      </c>
      <c r="C35" s="610"/>
      <c r="D35" s="611"/>
      <c r="E35" s="161"/>
    </row>
    <row r="36" spans="1:5" s="162" customFormat="1" ht="14.5" customHeight="1">
      <c r="A36" s="146"/>
      <c r="B36" s="411" t="s">
        <v>962</v>
      </c>
      <c r="C36" s="610"/>
      <c r="D36" s="611"/>
      <c r="E36" s="161"/>
    </row>
    <row r="37" spans="1:5" s="162" customFormat="1" ht="14.5" customHeight="1">
      <c r="A37" s="146"/>
      <c r="B37" s="411" t="s">
        <v>963</v>
      </c>
      <c r="C37" s="610"/>
      <c r="D37" s="611"/>
      <c r="E37" s="161"/>
    </row>
    <row r="38" spans="1:5" s="162" customFormat="1" ht="14.5" customHeight="1">
      <c r="A38" s="146"/>
      <c r="B38" s="411" t="s">
        <v>964</v>
      </c>
      <c r="C38" s="610"/>
      <c r="D38" s="611"/>
      <c r="E38" s="161"/>
    </row>
    <row r="39" spans="1:5" ht="14.5" customHeight="1">
      <c r="A39" s="145" t="s">
        <v>965</v>
      </c>
      <c r="B39" s="145"/>
      <c r="C39" s="610">
        <f>SUM(C40:C42)</f>
        <v>0</v>
      </c>
      <c r="D39" s="611"/>
      <c r="E39" s="163"/>
    </row>
    <row r="40" spans="1:5" ht="14.5" customHeight="1">
      <c r="A40" s="145"/>
      <c r="B40" s="411" t="s">
        <v>966</v>
      </c>
      <c r="C40" s="610"/>
      <c r="D40" s="611"/>
      <c r="E40" s="163"/>
    </row>
    <row r="41" spans="1:5" ht="14.5" customHeight="1">
      <c r="A41" s="145"/>
      <c r="B41" s="411" t="s">
        <v>967</v>
      </c>
      <c r="C41" s="610"/>
      <c r="D41" s="611"/>
      <c r="E41" s="163"/>
    </row>
    <row r="42" spans="1:5" s="162" customFormat="1" ht="14.5" customHeight="1">
      <c r="A42" s="146"/>
      <c r="B42" s="147" t="s">
        <v>968</v>
      </c>
      <c r="C42" s="610"/>
      <c r="D42" s="611"/>
      <c r="E42" s="161"/>
    </row>
    <row r="43" spans="1:5" s="162" customFormat="1" ht="14.5" customHeight="1">
      <c r="A43" s="145" t="s">
        <v>969</v>
      </c>
      <c r="B43" s="145"/>
      <c r="C43" s="610"/>
      <c r="D43" s="611"/>
      <c r="E43" s="161"/>
    </row>
    <row r="44" spans="1:5" s="162" customFormat="1" ht="14.5" customHeight="1">
      <c r="A44" s="145" t="s">
        <v>970</v>
      </c>
      <c r="B44" s="408"/>
      <c r="C44" s="610"/>
      <c r="D44" s="611"/>
      <c r="E44" s="161"/>
    </row>
    <row r="45" spans="1:5" s="162" customFormat="1" ht="14.5" customHeight="1">
      <c r="A45" s="146" t="s">
        <v>971</v>
      </c>
      <c r="B45" s="408"/>
      <c r="C45" s="610"/>
      <c r="D45" s="611"/>
      <c r="E45" s="161"/>
    </row>
    <row r="46" spans="1:5" ht="14.5" customHeight="1">
      <c r="A46" s="145" t="s">
        <v>972</v>
      </c>
      <c r="B46" s="147"/>
      <c r="C46" s="610"/>
      <c r="D46" s="611"/>
      <c r="E46" s="163"/>
    </row>
    <row r="47" spans="1:5" ht="14.5" customHeight="1">
      <c r="A47" s="146" t="s">
        <v>973</v>
      </c>
      <c r="B47" s="147"/>
      <c r="C47" s="610"/>
      <c r="D47" s="611"/>
      <c r="E47" s="163"/>
    </row>
    <row r="48" spans="1:5" ht="14.5" customHeight="1">
      <c r="A48" s="146" t="s">
        <v>974</v>
      </c>
      <c r="B48" s="147"/>
      <c r="C48" s="610"/>
      <c r="D48" s="611"/>
      <c r="E48" s="163"/>
    </row>
    <row r="49" spans="1:5" ht="14.5" customHeight="1">
      <c r="A49" s="145" t="s">
        <v>975</v>
      </c>
      <c r="B49" s="145"/>
      <c r="C49" s="610"/>
      <c r="D49" s="611"/>
      <c r="E49" s="163"/>
    </row>
    <row r="50" spans="1:5" ht="14.5" customHeight="1">
      <c r="A50" s="165"/>
      <c r="B50" s="165"/>
      <c r="C50" s="165"/>
    </row>
    <row r="51" spans="1:5" ht="14.5" customHeight="1"/>
    <row r="52" spans="1:5" ht="14.5" customHeight="1"/>
    <row r="53" spans="1:5" ht="14.5" customHeight="1"/>
    <row r="54" spans="1:5" ht="14.5" customHeight="1"/>
  </sheetData>
  <sheetProtection selectLockedCells="1"/>
  <protectedRanges>
    <protectedRange sqref="A50:D50" name="区域3"/>
    <protectedRange sqref="A3:B3" name="区域1"/>
  </protectedRanges>
  <mergeCells count="2">
    <mergeCell ref="A1:D1"/>
    <mergeCell ref="A2:D2"/>
  </mergeCells>
  <phoneticPr fontId="1"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D7"/>
  <sheetViews>
    <sheetView workbookViewId="0">
      <selection activeCell="B2" sqref="B2"/>
    </sheetView>
  </sheetViews>
  <sheetFormatPr defaultColWidth="9" defaultRowHeight="14.25" customHeight="1"/>
  <cols>
    <col min="1" max="1" width="23.6328125" style="106" customWidth="1"/>
    <col min="2" max="2" width="25.6328125" style="106" customWidth="1"/>
    <col min="3" max="3" width="25" style="106" customWidth="1"/>
    <col min="4" max="4" width="25.6328125" style="210" customWidth="1"/>
    <col min="5" max="16384" width="9" style="106"/>
  </cols>
  <sheetData>
    <row r="1" spans="1:4" ht="14.25" customHeight="1">
      <c r="A1" s="657" t="s">
        <v>1678</v>
      </c>
      <c r="B1" s="657"/>
      <c r="C1" s="657"/>
      <c r="D1" s="658"/>
    </row>
    <row r="2" spans="1:4" ht="14.25" customHeight="1">
      <c r="A2" s="429" t="s">
        <v>1918</v>
      </c>
      <c r="B2" s="500" t="s">
        <v>2061</v>
      </c>
      <c r="C2" s="381" t="s">
        <v>1915</v>
      </c>
      <c r="D2" s="584" t="s">
        <v>1682</v>
      </c>
    </row>
    <row r="3" spans="1:4" ht="14.25" customHeight="1">
      <c r="A3" s="429" t="s">
        <v>1919</v>
      </c>
      <c r="B3" s="500" t="s">
        <v>1682</v>
      </c>
      <c r="C3" s="382" t="s">
        <v>1920</v>
      </c>
      <c r="D3" s="584" t="s">
        <v>1682</v>
      </c>
    </row>
    <row r="4" spans="1:4" ht="14.25" customHeight="1">
      <c r="A4" s="382" t="s">
        <v>1921</v>
      </c>
      <c r="B4" s="584" t="s">
        <v>1682</v>
      </c>
      <c r="C4" s="382" t="s">
        <v>1922</v>
      </c>
      <c r="D4" s="584" t="s">
        <v>1682</v>
      </c>
    </row>
    <row r="5" spans="1:4" ht="14.25" customHeight="1">
      <c r="A5" s="382" t="s">
        <v>1912</v>
      </c>
      <c r="B5" s="584"/>
      <c r="C5" s="382" t="s">
        <v>1917</v>
      </c>
      <c r="D5" s="584"/>
    </row>
    <row r="6" spans="1:4" ht="14.25" customHeight="1">
      <c r="A6" s="382" t="s">
        <v>1913</v>
      </c>
      <c r="B6" s="584"/>
      <c r="C6" s="386" t="s">
        <v>1738</v>
      </c>
      <c r="D6" s="584" t="s">
        <v>1682</v>
      </c>
    </row>
    <row r="7" spans="1:4" ht="14.25" customHeight="1">
      <c r="A7" s="381" t="s">
        <v>1731</v>
      </c>
      <c r="B7" s="584"/>
      <c r="C7" s="381" t="s">
        <v>1739</v>
      </c>
      <c r="D7" s="584"/>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pageSetup paperSize="9" orientation="portrait" horizontalDpi="180" verticalDpi="18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33"/>
  <sheetViews>
    <sheetView topLeftCell="A13" workbookViewId="0">
      <selection activeCell="E5" sqref="E5:F33"/>
    </sheetView>
  </sheetViews>
  <sheetFormatPr defaultRowHeight="14.5" customHeight="1"/>
  <cols>
    <col min="1" max="1" width="16.453125" customWidth="1"/>
    <col min="2" max="3" width="20.6328125" customWidth="1"/>
    <col min="4" max="4" width="18.6328125" customWidth="1"/>
    <col min="5" max="6" width="20.6328125" customWidth="1"/>
  </cols>
  <sheetData>
    <row r="1" spans="1:6" s="341" customFormat="1" ht="29.15" customHeight="1">
      <c r="A1" s="680" t="s">
        <v>1804</v>
      </c>
      <c r="B1" s="680"/>
      <c r="C1" s="680"/>
      <c r="D1" s="680"/>
      <c r="E1" s="680"/>
      <c r="F1" s="680"/>
    </row>
    <row r="2" spans="1:6" ht="14.25" customHeight="1">
      <c r="A2" s="87"/>
      <c r="B2" s="166"/>
      <c r="C2" s="87"/>
      <c r="D2" s="166"/>
      <c r="E2" s="87"/>
      <c r="F2" s="89" t="s">
        <v>976</v>
      </c>
    </row>
    <row r="3" spans="1:6" ht="14.25" customHeight="1">
      <c r="A3" s="379" t="s">
        <v>503</v>
      </c>
      <c r="B3" s="107"/>
      <c r="C3" s="538" t="s">
        <v>504</v>
      </c>
      <c r="D3" s="108"/>
      <c r="E3" s="107"/>
      <c r="F3" s="109" t="s">
        <v>505</v>
      </c>
    </row>
    <row r="4" spans="1:6" ht="14.25" customHeight="1">
      <c r="A4" s="78" t="s">
        <v>506</v>
      </c>
      <c r="B4" s="79" t="s">
        <v>508</v>
      </c>
      <c r="C4" s="79" t="s">
        <v>509</v>
      </c>
      <c r="D4" s="78" t="s">
        <v>624</v>
      </c>
      <c r="E4" s="79" t="s">
        <v>508</v>
      </c>
      <c r="F4" s="79" t="s">
        <v>509</v>
      </c>
    </row>
    <row r="5" spans="1:6" ht="14.25" customHeight="1">
      <c r="A5" s="78" t="s">
        <v>511</v>
      </c>
      <c r="B5" s="645"/>
      <c r="C5" s="645"/>
      <c r="D5" s="78" t="s">
        <v>6</v>
      </c>
      <c r="E5" s="645"/>
      <c r="F5" s="645"/>
    </row>
    <row r="6" spans="1:6" ht="14.25" customHeight="1">
      <c r="A6" s="90" t="s">
        <v>512</v>
      </c>
      <c r="B6" s="645"/>
      <c r="C6" s="645"/>
      <c r="D6" s="90" t="s">
        <v>513</v>
      </c>
      <c r="E6" s="645"/>
      <c r="F6" s="645"/>
    </row>
    <row r="7" spans="1:6" ht="14.25" customHeight="1">
      <c r="A7" s="90" t="s">
        <v>514</v>
      </c>
      <c r="B7" s="645"/>
      <c r="C7" s="645"/>
      <c r="D7" s="90" t="s">
        <v>977</v>
      </c>
      <c r="E7" s="645"/>
      <c r="F7" s="645"/>
    </row>
    <row r="8" spans="1:6" ht="14.25" customHeight="1">
      <c r="A8" s="90" t="s">
        <v>626</v>
      </c>
      <c r="B8" s="645"/>
      <c r="C8" s="645"/>
      <c r="D8" s="90" t="s">
        <v>978</v>
      </c>
      <c r="E8" s="645"/>
      <c r="F8" s="645"/>
    </row>
    <row r="9" spans="1:6" ht="14.25" customHeight="1">
      <c r="A9" s="90" t="s">
        <v>518</v>
      </c>
      <c r="B9" s="645"/>
      <c r="C9" s="645"/>
      <c r="D9" s="90" t="s">
        <v>979</v>
      </c>
      <c r="E9" s="645"/>
      <c r="F9" s="645"/>
    </row>
    <row r="10" spans="1:6" ht="14.25" customHeight="1">
      <c r="A10" s="90" t="s">
        <v>526</v>
      </c>
      <c r="B10" s="645"/>
      <c r="C10" s="645"/>
      <c r="D10" s="90" t="s">
        <v>521</v>
      </c>
      <c r="E10" s="645"/>
      <c r="F10" s="645"/>
    </row>
    <row r="11" spans="1:6" ht="14.25" customHeight="1">
      <c r="A11" s="90" t="s">
        <v>528</v>
      </c>
      <c r="B11" s="645"/>
      <c r="C11" s="645"/>
      <c r="D11" s="90" t="s">
        <v>517</v>
      </c>
      <c r="E11" s="645"/>
      <c r="F11" s="645"/>
    </row>
    <row r="12" spans="1:6" ht="14.25" customHeight="1">
      <c r="A12" s="90" t="s">
        <v>980</v>
      </c>
      <c r="B12" s="645">
        <f>SUM(B6:B11)</f>
        <v>0</v>
      </c>
      <c r="C12" s="645">
        <f>SUM(C6:C11)</f>
        <v>0</v>
      </c>
      <c r="D12" s="90" t="s">
        <v>529</v>
      </c>
      <c r="E12" s="645"/>
      <c r="F12" s="645"/>
    </row>
    <row r="13" spans="1:6" ht="14.25" customHeight="1">
      <c r="A13" s="90"/>
      <c r="B13" s="645"/>
      <c r="C13" s="645"/>
      <c r="D13" s="90" t="s">
        <v>981</v>
      </c>
      <c r="E13" s="645">
        <f>SUM(E6:E12)</f>
        <v>0</v>
      </c>
      <c r="F13" s="645">
        <f>SUM(F6:F12)</f>
        <v>0</v>
      </c>
    </row>
    <row r="14" spans="1:6" ht="14.25" customHeight="1">
      <c r="A14" s="78" t="s">
        <v>542</v>
      </c>
      <c r="B14" s="645"/>
      <c r="C14" s="645"/>
      <c r="D14" s="90"/>
      <c r="E14" s="645"/>
      <c r="F14" s="645"/>
    </row>
    <row r="15" spans="1:6" ht="14.25" customHeight="1">
      <c r="A15" s="90" t="s">
        <v>636</v>
      </c>
      <c r="B15" s="645"/>
      <c r="C15" s="645"/>
      <c r="D15" s="78" t="s">
        <v>535</v>
      </c>
      <c r="E15" s="645"/>
      <c r="F15" s="645"/>
    </row>
    <row r="16" spans="1:6" ht="14.25" customHeight="1">
      <c r="A16" s="90" t="s">
        <v>637</v>
      </c>
      <c r="B16" s="645"/>
      <c r="C16" s="645"/>
      <c r="D16" s="90" t="s">
        <v>982</v>
      </c>
      <c r="E16" s="645"/>
      <c r="F16" s="645"/>
    </row>
    <row r="17" spans="1:6" ht="14.25" customHeight="1">
      <c r="A17" s="90" t="s">
        <v>551</v>
      </c>
      <c r="B17" s="645"/>
      <c r="C17" s="645"/>
      <c r="D17" s="90" t="s">
        <v>983</v>
      </c>
      <c r="E17" s="645"/>
      <c r="F17" s="645"/>
    </row>
    <row r="18" spans="1:6" ht="14.25" customHeight="1">
      <c r="A18" s="90" t="s">
        <v>556</v>
      </c>
      <c r="B18" s="645"/>
      <c r="C18" s="645"/>
      <c r="D18" s="90" t="s">
        <v>984</v>
      </c>
      <c r="E18" s="645"/>
      <c r="F18" s="645"/>
    </row>
    <row r="19" spans="1:6" ht="14.25" customHeight="1">
      <c r="A19" s="90" t="s">
        <v>985</v>
      </c>
      <c r="B19" s="645"/>
      <c r="C19" s="645"/>
      <c r="D19" s="90" t="s">
        <v>545</v>
      </c>
      <c r="E19" s="645">
        <f>SUM(E16:E18)</f>
        <v>0</v>
      </c>
      <c r="F19" s="645">
        <f>SUM(F16:F18)</f>
        <v>0</v>
      </c>
    </row>
    <row r="20" spans="1:6" ht="14.25" customHeight="1">
      <c r="A20" s="90" t="s">
        <v>986</v>
      </c>
      <c r="B20" s="645">
        <f>SUM(B15:B19)</f>
        <v>0</v>
      </c>
      <c r="C20" s="645">
        <f>SUM(C15:C19)</f>
        <v>0</v>
      </c>
      <c r="D20" s="78" t="s">
        <v>547</v>
      </c>
      <c r="E20" s="645">
        <f>E13+E19</f>
        <v>0</v>
      </c>
      <c r="F20" s="645">
        <f>F13+F19</f>
        <v>0</v>
      </c>
    </row>
    <row r="21" spans="1:6" ht="14.25" customHeight="1">
      <c r="A21" s="90"/>
      <c r="B21" s="645"/>
      <c r="C21" s="645"/>
      <c r="D21" s="90"/>
      <c r="E21" s="645"/>
      <c r="F21" s="645"/>
    </row>
    <row r="22" spans="1:6" ht="14.25" customHeight="1">
      <c r="A22" s="90"/>
      <c r="B22" s="645"/>
      <c r="C22" s="645"/>
      <c r="D22" s="78" t="s">
        <v>640</v>
      </c>
      <c r="E22" s="645"/>
      <c r="F22" s="645"/>
    </row>
    <row r="23" spans="1:6" ht="14.25" customHeight="1">
      <c r="A23" s="90"/>
      <c r="B23" s="645"/>
      <c r="C23" s="645"/>
      <c r="D23" s="90" t="s">
        <v>641</v>
      </c>
      <c r="E23" s="645"/>
      <c r="F23" s="645"/>
    </row>
    <row r="24" spans="1:6" ht="14.25" customHeight="1">
      <c r="A24" s="90"/>
      <c r="B24" s="645"/>
      <c r="C24" s="645"/>
      <c r="D24" s="90" t="s">
        <v>987</v>
      </c>
      <c r="E24" s="645"/>
      <c r="F24" s="645"/>
    </row>
    <row r="25" spans="1:6" ht="14.25" customHeight="1">
      <c r="A25" s="90"/>
      <c r="B25" s="645"/>
      <c r="C25" s="645"/>
      <c r="D25" s="90" t="s">
        <v>642</v>
      </c>
      <c r="E25" s="645"/>
      <c r="F25" s="645"/>
    </row>
    <row r="26" spans="1:6" ht="14.25" customHeight="1">
      <c r="A26" s="90"/>
      <c r="B26" s="645"/>
      <c r="C26" s="645"/>
      <c r="D26" s="90" t="s">
        <v>988</v>
      </c>
      <c r="E26" s="645"/>
      <c r="F26" s="645"/>
    </row>
    <row r="27" spans="1:6" ht="14.25" customHeight="1">
      <c r="A27" s="90"/>
      <c r="B27" s="645"/>
      <c r="C27" s="645"/>
      <c r="D27" s="90" t="s">
        <v>989</v>
      </c>
      <c r="E27" s="645"/>
      <c r="F27" s="645"/>
    </row>
    <row r="28" spans="1:6" ht="14.25" customHeight="1">
      <c r="A28" s="90"/>
      <c r="B28" s="645"/>
      <c r="C28" s="645"/>
      <c r="D28" s="90" t="s">
        <v>990</v>
      </c>
      <c r="E28" s="645"/>
      <c r="F28" s="645"/>
    </row>
    <row r="29" spans="1:6" ht="14.25" customHeight="1">
      <c r="A29" s="90"/>
      <c r="B29" s="645"/>
      <c r="C29" s="645"/>
      <c r="D29" s="90" t="s">
        <v>991</v>
      </c>
      <c r="E29" s="645"/>
      <c r="F29" s="645"/>
    </row>
    <row r="30" spans="1:6" ht="14.25" customHeight="1">
      <c r="A30" s="90"/>
      <c r="B30" s="645"/>
      <c r="C30" s="645"/>
      <c r="D30" s="90" t="s">
        <v>992</v>
      </c>
      <c r="E30" s="645"/>
      <c r="F30" s="645"/>
    </row>
    <row r="31" spans="1:6" ht="14.25" customHeight="1">
      <c r="A31" s="90"/>
      <c r="B31" s="645"/>
      <c r="C31" s="645"/>
      <c r="D31" s="90" t="s">
        <v>993</v>
      </c>
      <c r="E31" s="645"/>
      <c r="F31" s="645"/>
    </row>
    <row r="32" spans="1:6" ht="14.25" customHeight="1">
      <c r="A32" s="90"/>
      <c r="B32" s="645"/>
      <c r="C32" s="645"/>
      <c r="D32" s="78" t="s">
        <v>651</v>
      </c>
      <c r="E32" s="645">
        <f>SUM(E23:E31)</f>
        <v>0</v>
      </c>
      <c r="F32" s="645">
        <f>SUM(F23:F31)</f>
        <v>0</v>
      </c>
    </row>
    <row r="33" spans="1:6" ht="14.25" customHeight="1">
      <c r="A33" s="78" t="s">
        <v>652</v>
      </c>
      <c r="B33" s="645">
        <f>B20+B12</f>
        <v>0</v>
      </c>
      <c r="C33" s="645">
        <f>C20+C12</f>
        <v>0</v>
      </c>
      <c r="D33" s="78" t="s">
        <v>994</v>
      </c>
      <c r="E33" s="645">
        <f>E32+E20</f>
        <v>0</v>
      </c>
      <c r="F33" s="645">
        <f>F32+F20</f>
        <v>0</v>
      </c>
    </row>
  </sheetData>
  <sheetProtection selectLockedCells="1"/>
  <mergeCells count="1">
    <mergeCell ref="A1:F1"/>
  </mergeCells>
  <phoneticPr fontId="1"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I25"/>
  <sheetViews>
    <sheetView workbookViewId="0">
      <selection activeCell="H6" sqref="H6:I22"/>
    </sheetView>
  </sheetViews>
  <sheetFormatPr defaultRowHeight="14"/>
  <cols>
    <col min="1" max="1" width="21.26953125" customWidth="1"/>
    <col min="2" max="3" width="20.6328125" customWidth="1"/>
    <col min="4" max="4" width="21.90625" customWidth="1"/>
    <col min="5" max="6" width="20.6328125" customWidth="1"/>
    <col min="7" max="7" width="28.36328125" customWidth="1"/>
    <col min="8" max="9" width="20.6328125" customWidth="1"/>
  </cols>
  <sheetData>
    <row r="1" spans="1:9" s="341" customFormat="1" ht="29.15" customHeight="1">
      <c r="A1" s="680" t="s">
        <v>1672</v>
      </c>
      <c r="B1" s="680"/>
      <c r="C1" s="680"/>
      <c r="D1" s="680"/>
      <c r="E1" s="680"/>
      <c r="F1" s="680"/>
      <c r="G1" s="680"/>
      <c r="H1" s="680"/>
      <c r="I1" s="680"/>
    </row>
    <row r="2" spans="1:9" ht="14.25" customHeight="1">
      <c r="A2" s="87"/>
      <c r="B2" s="87"/>
      <c r="C2" s="87"/>
      <c r="D2" s="87"/>
      <c r="E2" s="87"/>
      <c r="F2" s="87"/>
      <c r="G2" s="87"/>
      <c r="H2" s="87"/>
      <c r="I2" s="89" t="s">
        <v>976</v>
      </c>
    </row>
    <row r="3" spans="1:9" ht="14.25" customHeight="1">
      <c r="A3" s="534" t="s">
        <v>503</v>
      </c>
      <c r="B3" s="87"/>
      <c r="C3" s="87"/>
      <c r="D3" s="534" t="s">
        <v>995</v>
      </c>
      <c r="E3" s="87"/>
      <c r="F3" s="87"/>
      <c r="G3" s="87"/>
      <c r="H3" s="87"/>
      <c r="I3" s="109" t="s">
        <v>505</v>
      </c>
    </row>
    <row r="4" spans="1:9" ht="14.25" customHeight="1">
      <c r="A4" s="700" t="s">
        <v>996</v>
      </c>
      <c r="B4" s="700"/>
      <c r="C4" s="700"/>
      <c r="D4" s="700" t="s">
        <v>997</v>
      </c>
      <c r="E4" s="700"/>
      <c r="F4" s="700"/>
      <c r="G4" s="700" t="s">
        <v>998</v>
      </c>
      <c r="H4" s="700"/>
      <c r="I4" s="700"/>
    </row>
    <row r="5" spans="1:9" ht="14.25" customHeight="1">
      <c r="A5" s="111" t="s">
        <v>999</v>
      </c>
      <c r="B5" s="172" t="s">
        <v>1000</v>
      </c>
      <c r="C5" s="172" t="s">
        <v>1001</v>
      </c>
      <c r="D5" s="111" t="s">
        <v>999</v>
      </c>
      <c r="E5" s="172" t="s">
        <v>1000</v>
      </c>
      <c r="F5" s="172" t="s">
        <v>1001</v>
      </c>
      <c r="G5" s="111" t="s">
        <v>999</v>
      </c>
      <c r="H5" s="172" t="s">
        <v>1000</v>
      </c>
      <c r="I5" s="172" t="s">
        <v>1001</v>
      </c>
    </row>
    <row r="6" spans="1:9" ht="14.25" customHeight="1">
      <c r="A6" s="90" t="s">
        <v>1002</v>
      </c>
      <c r="B6" s="645">
        <f>B7+B8</f>
        <v>0</v>
      </c>
      <c r="C6" s="615"/>
      <c r="D6" s="701" t="s">
        <v>1003</v>
      </c>
      <c r="E6" s="697"/>
      <c r="F6" s="697"/>
      <c r="G6" s="167" t="s">
        <v>1004</v>
      </c>
      <c r="H6" s="616">
        <f>H7+H8</f>
        <v>0</v>
      </c>
      <c r="I6" s="616">
        <f>I7+I8</f>
        <v>0</v>
      </c>
    </row>
    <row r="7" spans="1:9" ht="14.25" customHeight="1">
      <c r="A7" s="90" t="s">
        <v>1005</v>
      </c>
      <c r="B7" s="645"/>
      <c r="C7" s="615"/>
      <c r="D7" s="702"/>
      <c r="E7" s="698"/>
      <c r="F7" s="698"/>
      <c r="G7" s="168" t="s">
        <v>1006</v>
      </c>
      <c r="H7" s="616"/>
      <c r="I7" s="644"/>
    </row>
    <row r="8" spans="1:9" ht="14.25" customHeight="1">
      <c r="A8" s="90" t="s">
        <v>1007</v>
      </c>
      <c r="B8" s="645"/>
      <c r="C8" s="615"/>
      <c r="D8" s="703"/>
      <c r="E8" s="699"/>
      <c r="F8" s="699"/>
      <c r="G8" s="168" t="s">
        <v>1008</v>
      </c>
      <c r="H8" s="616"/>
      <c r="I8" s="644"/>
    </row>
    <row r="9" spans="1:9" ht="14.25" customHeight="1">
      <c r="A9" s="90" t="s">
        <v>1009</v>
      </c>
      <c r="B9" s="645"/>
      <c r="C9" s="615"/>
      <c r="D9" s="171" t="s">
        <v>1010</v>
      </c>
      <c r="E9" s="697"/>
      <c r="F9" s="697"/>
      <c r="G9" s="112"/>
      <c r="H9" s="697"/>
      <c r="I9" s="697"/>
    </row>
    <row r="10" spans="1:9" ht="14.25" customHeight="1">
      <c r="A10" s="90" t="s">
        <v>1011</v>
      </c>
      <c r="B10" s="645"/>
      <c r="C10" s="615"/>
      <c r="D10" s="170" t="s">
        <v>1012</v>
      </c>
      <c r="E10" s="699"/>
      <c r="F10" s="699"/>
      <c r="G10" s="169" t="s">
        <v>1013</v>
      </c>
      <c r="H10" s="698"/>
      <c r="I10" s="698"/>
    </row>
    <row r="11" spans="1:9" ht="14.25" customHeight="1">
      <c r="A11" s="90" t="s">
        <v>1014</v>
      </c>
      <c r="B11" s="645"/>
      <c r="C11" s="615"/>
      <c r="D11" s="170" t="s">
        <v>1015</v>
      </c>
      <c r="E11" s="645"/>
      <c r="F11" s="581"/>
      <c r="G11" s="169" t="s">
        <v>1016</v>
      </c>
      <c r="H11" s="698"/>
      <c r="I11" s="698"/>
    </row>
    <row r="12" spans="1:9" ht="14.25" customHeight="1">
      <c r="A12" s="90" t="s">
        <v>1017</v>
      </c>
      <c r="B12" s="645"/>
      <c r="C12" s="615"/>
      <c r="D12" s="90" t="s">
        <v>1018</v>
      </c>
      <c r="E12" s="645"/>
      <c r="F12" s="581"/>
      <c r="G12" s="169" t="s">
        <v>1019</v>
      </c>
      <c r="H12" s="698"/>
      <c r="I12" s="698"/>
    </row>
    <row r="13" spans="1:9" ht="14.25" customHeight="1">
      <c r="A13" s="90" t="s">
        <v>1020</v>
      </c>
      <c r="B13" s="645"/>
      <c r="C13" s="615"/>
      <c r="D13" s="90" t="s">
        <v>1021</v>
      </c>
      <c r="E13" s="645"/>
      <c r="F13" s="581"/>
      <c r="G13" s="169"/>
      <c r="H13" s="698"/>
      <c r="I13" s="698"/>
    </row>
    <row r="14" spans="1:9" ht="14.25" customHeight="1">
      <c r="A14" s="170" t="s">
        <v>1022</v>
      </c>
      <c r="B14" s="645">
        <f>B6+SUM(B9:B12)</f>
        <v>0</v>
      </c>
      <c r="C14" s="645">
        <f>C6+SUM(C9:C12)</f>
        <v>0</v>
      </c>
      <c r="D14" s="90" t="s">
        <v>1022</v>
      </c>
      <c r="E14" s="645">
        <f>SUM(E6:E13)</f>
        <v>0</v>
      </c>
      <c r="F14" s="645">
        <f>SUM(F6:F13)</f>
        <v>0</v>
      </c>
      <c r="G14" s="170"/>
      <c r="H14" s="699"/>
      <c r="I14" s="699"/>
    </row>
    <row r="15" spans="1:9" ht="14.25" customHeight="1">
      <c r="A15" s="694" t="s">
        <v>1023</v>
      </c>
      <c r="B15" s="697"/>
      <c r="C15" s="697"/>
      <c r="D15" s="694" t="s">
        <v>1024</v>
      </c>
      <c r="E15" s="697"/>
      <c r="F15" s="697"/>
      <c r="G15" s="90" t="s">
        <v>1025</v>
      </c>
      <c r="H15" s="645">
        <f>B15-E15</f>
        <v>0</v>
      </c>
      <c r="I15" s="645">
        <f>C15-F15</f>
        <v>0</v>
      </c>
    </row>
    <row r="16" spans="1:9" ht="14.25" customHeight="1">
      <c r="A16" s="695"/>
      <c r="B16" s="698"/>
      <c r="C16" s="698"/>
      <c r="D16" s="695"/>
      <c r="E16" s="698"/>
      <c r="F16" s="698"/>
      <c r="G16" s="90" t="s">
        <v>1026</v>
      </c>
      <c r="H16" s="697"/>
      <c r="I16" s="697"/>
    </row>
    <row r="17" spans="1:9" ht="14.25" customHeight="1">
      <c r="A17" s="696"/>
      <c r="B17" s="699"/>
      <c r="C17" s="699"/>
      <c r="D17" s="696"/>
      <c r="E17" s="699"/>
      <c r="F17" s="699"/>
      <c r="G17" s="90" t="s">
        <v>1027</v>
      </c>
      <c r="H17" s="699"/>
      <c r="I17" s="699"/>
    </row>
    <row r="18" spans="1:9" ht="14.25" customHeight="1">
      <c r="A18" s="700" t="s">
        <v>1028</v>
      </c>
      <c r="B18" s="697">
        <f>B14+B15</f>
        <v>0</v>
      </c>
      <c r="C18" s="697">
        <f>C14+C15</f>
        <v>0</v>
      </c>
      <c r="D18" s="700" t="s">
        <v>1029</v>
      </c>
      <c r="E18" s="697">
        <f>E14+E15</f>
        <v>0</v>
      </c>
      <c r="F18" s="697">
        <f>F14+F15</f>
        <v>0</v>
      </c>
      <c r="G18" s="90" t="s">
        <v>1030</v>
      </c>
      <c r="H18" s="645"/>
      <c r="I18" s="645"/>
    </row>
    <row r="19" spans="1:9" ht="14.25" customHeight="1">
      <c r="A19" s="700"/>
      <c r="B19" s="698"/>
      <c r="C19" s="698"/>
      <c r="D19" s="700"/>
      <c r="E19" s="698"/>
      <c r="F19" s="698"/>
      <c r="G19" s="90" t="s">
        <v>1031</v>
      </c>
      <c r="H19" s="645"/>
      <c r="I19" s="645"/>
    </row>
    <row r="20" spans="1:9" ht="14.25" customHeight="1">
      <c r="A20" s="700"/>
      <c r="B20" s="698"/>
      <c r="C20" s="698"/>
      <c r="D20" s="700"/>
      <c r="E20" s="698"/>
      <c r="F20" s="698"/>
      <c r="G20" s="90" t="s">
        <v>1032</v>
      </c>
      <c r="H20" s="645"/>
      <c r="I20" s="645"/>
    </row>
    <row r="21" spans="1:9" ht="14.25" customHeight="1">
      <c r="A21" s="700"/>
      <c r="B21" s="698"/>
      <c r="C21" s="698"/>
      <c r="D21" s="700"/>
      <c r="E21" s="698"/>
      <c r="F21" s="698"/>
      <c r="G21" s="90" t="s">
        <v>1033</v>
      </c>
      <c r="H21" s="645"/>
      <c r="I21" s="645"/>
    </row>
    <row r="22" spans="1:9" ht="14.25" customHeight="1">
      <c r="A22" s="700"/>
      <c r="B22" s="699"/>
      <c r="C22" s="699"/>
      <c r="D22" s="700"/>
      <c r="E22" s="699"/>
      <c r="F22" s="699"/>
      <c r="G22" s="90" t="s">
        <v>1034</v>
      </c>
      <c r="H22" s="645"/>
      <c r="I22" s="645"/>
    </row>
    <row r="23" spans="1:9">
      <c r="H23" s="81"/>
      <c r="I23" s="81"/>
    </row>
    <row r="24" spans="1:9">
      <c r="H24" s="82"/>
      <c r="I24" s="82"/>
    </row>
    <row r="25" spans="1:9">
      <c r="H25" s="82"/>
      <c r="I25" s="82"/>
    </row>
  </sheetData>
  <sheetProtection selectLockedCells="1"/>
  <mergeCells count="25">
    <mergeCell ref="H16:H17"/>
    <mergeCell ref="I16:I17"/>
    <mergeCell ref="A1:I1"/>
    <mergeCell ref="A4:C4"/>
    <mergeCell ref="D4:F4"/>
    <mergeCell ref="G4:I4"/>
    <mergeCell ref="D6:D8"/>
    <mergeCell ref="E6:E8"/>
    <mergeCell ref="F6:F8"/>
    <mergeCell ref="E9:E10"/>
    <mergeCell ref="F9:F10"/>
    <mergeCell ref="H9:H14"/>
    <mergeCell ref="I9:I14"/>
    <mergeCell ref="A15:A17"/>
    <mergeCell ref="B15:B17"/>
    <mergeCell ref="C15:C17"/>
    <mergeCell ref="D15:D17"/>
    <mergeCell ref="E15:E17"/>
    <mergeCell ref="F15:F17"/>
    <mergeCell ref="F18:F22"/>
    <mergeCell ref="A18:A22"/>
    <mergeCell ref="B18:B22"/>
    <mergeCell ref="C18:C22"/>
    <mergeCell ref="D18:D22"/>
    <mergeCell ref="E18:E22"/>
  </mergeCells>
  <phoneticPr fontId="1" type="noConversion"/>
  <pageMargins left="0.7" right="0.7" top="0.75" bottom="0.75" header="0.3" footer="0.3"/>
  <pageSetup paperSize="9" orientation="portrait" horizontalDpi="180" verticalDpi="18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D7"/>
  <sheetViews>
    <sheetView workbookViewId="0">
      <selection activeCell="B2" sqref="B2"/>
    </sheetView>
  </sheetViews>
  <sheetFormatPr defaultColWidth="9" defaultRowHeight="14.25" customHeight="1"/>
  <cols>
    <col min="1" max="1" width="23.6328125" style="106" customWidth="1"/>
    <col min="2" max="2" width="25.6328125" style="106" customWidth="1"/>
    <col min="3" max="3" width="25" style="106" customWidth="1"/>
    <col min="4" max="4" width="25.6328125" style="106" customWidth="1"/>
    <col min="5" max="16384" width="9" style="106"/>
  </cols>
  <sheetData>
    <row r="1" spans="1:4" ht="14.25" customHeight="1">
      <c r="A1" s="657" t="s">
        <v>1678</v>
      </c>
      <c r="B1" s="657"/>
      <c r="C1" s="657"/>
      <c r="D1" s="658"/>
    </row>
    <row r="2" spans="1:4" ht="14.25" customHeight="1">
      <c r="A2" s="429" t="s">
        <v>1918</v>
      </c>
      <c r="B2" s="500" t="s">
        <v>1682</v>
      </c>
      <c r="C2" s="381" t="s">
        <v>1915</v>
      </c>
      <c r="D2" s="523" t="s">
        <v>1682</v>
      </c>
    </row>
    <row r="3" spans="1:4" ht="14.25" customHeight="1">
      <c r="A3" s="429" t="s">
        <v>1919</v>
      </c>
      <c r="B3" s="500" t="s">
        <v>1682</v>
      </c>
      <c r="C3" s="382" t="s">
        <v>1920</v>
      </c>
      <c r="D3" s="523" t="s">
        <v>1682</v>
      </c>
    </row>
    <row r="4" spans="1:4" ht="14.25" customHeight="1">
      <c r="A4" s="382" t="s">
        <v>1921</v>
      </c>
      <c r="B4" s="523" t="s">
        <v>1682</v>
      </c>
      <c r="C4" s="382" t="s">
        <v>1922</v>
      </c>
      <c r="D4" s="523" t="s">
        <v>1682</v>
      </c>
    </row>
    <row r="5" spans="1:4" ht="14.25" customHeight="1">
      <c r="A5" s="382" t="s">
        <v>1912</v>
      </c>
      <c r="B5" s="523"/>
      <c r="C5" s="382" t="s">
        <v>1917</v>
      </c>
      <c r="D5" s="523"/>
    </row>
    <row r="6" spans="1:4" ht="14.25" customHeight="1">
      <c r="A6" s="382" t="s">
        <v>1913</v>
      </c>
      <c r="B6" s="523"/>
      <c r="C6" s="386" t="s">
        <v>1738</v>
      </c>
      <c r="D6" s="523" t="s">
        <v>1682</v>
      </c>
    </row>
    <row r="7" spans="1:4" ht="14.25" customHeight="1">
      <c r="A7" s="381" t="s">
        <v>1731</v>
      </c>
      <c r="B7" s="523"/>
      <c r="C7" s="381" t="s">
        <v>1739</v>
      </c>
      <c r="D7" s="523"/>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pageSetup paperSize="9" orientation="portrait" horizontalDpi="180" verticalDpi="18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36"/>
  <sheetViews>
    <sheetView topLeftCell="A19" workbookViewId="0">
      <selection activeCell="E18" sqref="E18"/>
    </sheetView>
  </sheetViews>
  <sheetFormatPr defaultColWidth="9" defaultRowHeight="14.5" customHeight="1"/>
  <cols>
    <col min="1" max="1" width="14.90625" style="174" customWidth="1"/>
    <col min="2" max="3" width="20.6328125" style="175" customWidth="1"/>
    <col min="4" max="4" width="32.6328125" style="174" bestFit="1" customWidth="1"/>
    <col min="5" max="5" width="20.6328125" style="175" customWidth="1"/>
    <col min="6" max="6" width="20.6328125" style="174" customWidth="1"/>
    <col min="7" max="16384" width="9" style="174"/>
  </cols>
  <sheetData>
    <row r="1" spans="1:6" s="347" customFormat="1" ht="29.15" customHeight="1">
      <c r="A1" s="680" t="s">
        <v>1673</v>
      </c>
      <c r="B1" s="680"/>
      <c r="C1" s="680"/>
      <c r="D1" s="680"/>
      <c r="E1" s="680"/>
      <c r="F1" s="680"/>
    </row>
    <row r="2" spans="1:6" ht="14.25" customHeight="1">
      <c r="A2" s="108"/>
      <c r="B2" s="210"/>
      <c r="C2" s="210"/>
      <c r="D2" s="108"/>
      <c r="E2" s="210"/>
      <c r="F2" s="109" t="s">
        <v>1035</v>
      </c>
    </row>
    <row r="3" spans="1:6" ht="14.25" customHeight="1">
      <c r="A3" s="538" t="s">
        <v>1036</v>
      </c>
      <c r="B3" s="210"/>
      <c r="C3" s="704" t="s">
        <v>1037</v>
      </c>
      <c r="D3" s="704"/>
      <c r="E3" s="210"/>
      <c r="F3" s="109" t="s">
        <v>1038</v>
      </c>
    </row>
    <row r="4" spans="1:6" ht="14.25" customHeight="1">
      <c r="A4" s="412" t="s">
        <v>1039</v>
      </c>
      <c r="B4" s="392" t="s">
        <v>1040</v>
      </c>
      <c r="C4" s="392" t="s">
        <v>1041</v>
      </c>
      <c r="D4" s="392" t="s">
        <v>1042</v>
      </c>
      <c r="E4" s="392" t="s">
        <v>1040</v>
      </c>
      <c r="F4" s="392" t="s">
        <v>1041</v>
      </c>
    </row>
    <row r="5" spans="1:6" ht="14.25" customHeight="1">
      <c r="A5" s="221" t="s">
        <v>1043</v>
      </c>
      <c r="B5" s="645"/>
      <c r="C5" s="645"/>
      <c r="D5" s="222" t="s">
        <v>1044</v>
      </c>
      <c r="E5" s="645"/>
      <c r="F5" s="645"/>
    </row>
    <row r="6" spans="1:6" ht="14.25" customHeight="1">
      <c r="A6" s="206" t="s">
        <v>1045</v>
      </c>
      <c r="B6" s="645"/>
      <c r="C6" s="645"/>
      <c r="D6" s="205" t="s">
        <v>1046</v>
      </c>
      <c r="E6" s="645"/>
      <c r="F6" s="645"/>
    </row>
    <row r="7" spans="1:6" ht="14.25" customHeight="1">
      <c r="A7" s="206" t="s">
        <v>1047</v>
      </c>
      <c r="B7" s="645"/>
      <c r="C7" s="645"/>
      <c r="D7" s="205" t="s">
        <v>1048</v>
      </c>
      <c r="E7" s="645"/>
      <c r="F7" s="645"/>
    </row>
    <row r="8" spans="1:6" ht="14.25" customHeight="1">
      <c r="A8" s="206" t="s">
        <v>1049</v>
      </c>
      <c r="B8" s="645"/>
      <c r="C8" s="645"/>
      <c r="D8" s="205" t="s">
        <v>1050</v>
      </c>
      <c r="E8" s="645"/>
      <c r="F8" s="645"/>
    </row>
    <row r="9" spans="1:6" ht="14.25" customHeight="1">
      <c r="A9" s="206" t="s">
        <v>1051</v>
      </c>
      <c r="B9" s="645"/>
      <c r="C9" s="645"/>
      <c r="D9" s="205" t="s">
        <v>1052</v>
      </c>
      <c r="E9" s="645"/>
      <c r="F9" s="645"/>
    </row>
    <row r="10" spans="1:6" ht="14.25" customHeight="1">
      <c r="A10" s="206" t="s">
        <v>1053</v>
      </c>
      <c r="B10" s="645"/>
      <c r="C10" s="645"/>
      <c r="D10" s="205" t="s">
        <v>1054</v>
      </c>
      <c r="E10" s="645"/>
      <c r="F10" s="645"/>
    </row>
    <row r="11" spans="1:6" ht="14.25" customHeight="1">
      <c r="A11" s="206" t="s">
        <v>1055</v>
      </c>
      <c r="B11" s="645"/>
      <c r="C11" s="645"/>
      <c r="D11" s="205" t="s">
        <v>1056</v>
      </c>
      <c r="E11" s="645"/>
      <c r="F11" s="645"/>
    </row>
    <row r="12" spans="1:6" ht="14.25" customHeight="1">
      <c r="A12" s="206" t="s">
        <v>1057</v>
      </c>
      <c r="B12" s="645"/>
      <c r="C12" s="645"/>
      <c r="D12" s="205" t="s">
        <v>1058</v>
      </c>
      <c r="E12" s="645"/>
      <c r="F12" s="645"/>
    </row>
    <row r="13" spans="1:6" ht="14.25" customHeight="1">
      <c r="A13" s="206" t="s">
        <v>1059</v>
      </c>
      <c r="B13" s="645"/>
      <c r="C13" s="645"/>
      <c r="D13" s="205" t="s">
        <v>1060</v>
      </c>
      <c r="E13" s="645"/>
      <c r="F13" s="645"/>
    </row>
    <row r="14" spans="1:6" ht="14.25" customHeight="1">
      <c r="A14" s="206" t="s">
        <v>1061</v>
      </c>
      <c r="B14" s="645"/>
      <c r="C14" s="645"/>
      <c r="D14" s="205" t="s">
        <v>1062</v>
      </c>
      <c r="E14" s="645"/>
      <c r="F14" s="645"/>
    </row>
    <row r="15" spans="1:6" ht="14.25" customHeight="1">
      <c r="A15" s="206" t="s">
        <v>1063</v>
      </c>
      <c r="B15" s="645">
        <f>SUM(B6:B14)</f>
        <v>0</v>
      </c>
      <c r="C15" s="645">
        <f>SUM(C6:C14)</f>
        <v>0</v>
      </c>
      <c r="D15" s="205" t="s">
        <v>1064</v>
      </c>
      <c r="E15" s="645"/>
      <c r="F15" s="645"/>
    </row>
    <row r="16" spans="1:6" ht="14.25" customHeight="1">
      <c r="A16" s="221" t="s">
        <v>1065</v>
      </c>
      <c r="B16" s="645"/>
      <c r="C16" s="645"/>
      <c r="D16" s="205" t="s">
        <v>1066</v>
      </c>
      <c r="E16" s="645"/>
      <c r="F16" s="645"/>
    </row>
    <row r="17" spans="1:6" ht="14.25" customHeight="1">
      <c r="A17" s="206" t="s">
        <v>1067</v>
      </c>
      <c r="B17" s="645"/>
      <c r="C17" s="645"/>
      <c r="D17" s="205" t="s">
        <v>1068</v>
      </c>
      <c r="E17" s="645"/>
      <c r="F17" s="645"/>
    </row>
    <row r="18" spans="1:6" ht="14.25" customHeight="1">
      <c r="A18" s="206" t="s">
        <v>1069</v>
      </c>
      <c r="B18" s="645">
        <f>B19-B20</f>
        <v>0</v>
      </c>
      <c r="C18" s="645">
        <f>C19-C20</f>
        <v>0</v>
      </c>
      <c r="D18" s="205" t="s">
        <v>1070</v>
      </c>
      <c r="E18" s="645">
        <f>SUM(E6:E17)</f>
        <v>0</v>
      </c>
      <c r="F18" s="645">
        <f>SUM(F6:F17)</f>
        <v>0</v>
      </c>
    </row>
    <row r="19" spans="1:6" ht="14.25" customHeight="1">
      <c r="A19" s="206" t="s">
        <v>1071</v>
      </c>
      <c r="B19" s="645"/>
      <c r="C19" s="645"/>
      <c r="D19" s="222" t="s">
        <v>1072</v>
      </c>
      <c r="E19" s="645"/>
      <c r="F19" s="645"/>
    </row>
    <row r="20" spans="1:6" ht="14.25" customHeight="1">
      <c r="A20" s="206" t="s">
        <v>1073</v>
      </c>
      <c r="B20" s="645"/>
      <c r="C20" s="645"/>
      <c r="D20" s="205" t="s">
        <v>1074</v>
      </c>
      <c r="E20" s="645"/>
      <c r="F20" s="645"/>
    </row>
    <row r="21" spans="1:6" ht="14.25" customHeight="1">
      <c r="A21" s="206" t="s">
        <v>1075</v>
      </c>
      <c r="B21" s="645"/>
      <c r="C21" s="645"/>
      <c r="D21" s="205" t="s">
        <v>1076</v>
      </c>
      <c r="E21" s="645"/>
      <c r="F21" s="645"/>
    </row>
    <row r="22" spans="1:6" ht="14.25" customHeight="1">
      <c r="A22" s="206" t="s">
        <v>1077</v>
      </c>
      <c r="B22" s="645">
        <f>B23-B24</f>
        <v>0</v>
      </c>
      <c r="C22" s="645">
        <f>C23-C24</f>
        <v>0</v>
      </c>
      <c r="D22" s="205" t="s">
        <v>1078</v>
      </c>
      <c r="E22" s="645">
        <f>E20+E21</f>
        <v>0</v>
      </c>
      <c r="F22" s="645">
        <f>F20+F21</f>
        <v>0</v>
      </c>
    </row>
    <row r="23" spans="1:6" ht="14.25" customHeight="1">
      <c r="A23" s="206" t="s">
        <v>1079</v>
      </c>
      <c r="B23" s="645"/>
      <c r="C23" s="645"/>
      <c r="D23" s="392" t="s">
        <v>1080</v>
      </c>
      <c r="E23" s="645">
        <f>E18+E22</f>
        <v>0</v>
      </c>
      <c r="F23" s="645">
        <f>F18+F22</f>
        <v>0</v>
      </c>
    </row>
    <row r="24" spans="1:6" ht="14.25" customHeight="1">
      <c r="A24" s="206" t="s">
        <v>1081</v>
      </c>
      <c r="B24" s="645"/>
      <c r="C24" s="645"/>
      <c r="D24" s="222" t="s">
        <v>1082</v>
      </c>
      <c r="E24" s="645"/>
      <c r="F24" s="645"/>
    </row>
    <row r="25" spans="1:6" ht="14.25" customHeight="1">
      <c r="A25" s="206" t="s">
        <v>1083</v>
      </c>
      <c r="B25" s="645"/>
      <c r="C25" s="645"/>
      <c r="D25" s="205" t="s">
        <v>1084</v>
      </c>
      <c r="E25" s="645"/>
      <c r="F25" s="645"/>
    </row>
    <row r="26" spans="1:6" ht="14.25" customHeight="1">
      <c r="A26" s="206" t="s">
        <v>1085</v>
      </c>
      <c r="B26" s="645">
        <f>B17+B18+B21+B22+B25</f>
        <v>0</v>
      </c>
      <c r="C26" s="645">
        <f>C17+C18+C21+C22+C25</f>
        <v>0</v>
      </c>
      <c r="D26" s="205" t="s">
        <v>1086</v>
      </c>
      <c r="E26" s="645"/>
      <c r="F26" s="645"/>
    </row>
    <row r="27" spans="1:6" ht="14.25" customHeight="1">
      <c r="A27" s="206"/>
      <c r="B27" s="645"/>
      <c r="C27" s="645"/>
      <c r="D27" s="205" t="s">
        <v>1087</v>
      </c>
      <c r="E27" s="645"/>
      <c r="F27" s="645"/>
    </row>
    <row r="28" spans="1:6" ht="14.25" customHeight="1">
      <c r="A28" s="206"/>
      <c r="B28" s="645"/>
      <c r="C28" s="645"/>
      <c r="D28" s="205" t="s">
        <v>1088</v>
      </c>
      <c r="E28" s="645"/>
      <c r="F28" s="645"/>
    </row>
    <row r="29" spans="1:6" ht="14.25" customHeight="1">
      <c r="A29" s="206"/>
      <c r="B29" s="645"/>
      <c r="C29" s="645"/>
      <c r="D29" s="205" t="s">
        <v>1089</v>
      </c>
      <c r="E29" s="645"/>
      <c r="F29" s="645"/>
    </row>
    <row r="30" spans="1:6" ht="14.25" customHeight="1">
      <c r="A30" s="206"/>
      <c r="B30" s="645"/>
      <c r="C30" s="645"/>
      <c r="D30" s="205" t="s">
        <v>1090</v>
      </c>
      <c r="E30" s="645"/>
      <c r="F30" s="645"/>
    </row>
    <row r="31" spans="1:6" ht="14.25" customHeight="1">
      <c r="A31" s="206"/>
      <c r="B31" s="645"/>
      <c r="C31" s="645"/>
      <c r="D31" s="205" t="s">
        <v>1091</v>
      </c>
      <c r="E31" s="645"/>
      <c r="F31" s="645"/>
    </row>
    <row r="32" spans="1:6" ht="14.25" customHeight="1">
      <c r="A32" s="206"/>
      <c r="B32" s="645"/>
      <c r="C32" s="645"/>
      <c r="D32" s="205" t="s">
        <v>1092</v>
      </c>
      <c r="E32" s="645"/>
      <c r="F32" s="645"/>
    </row>
    <row r="33" spans="1:6" ht="14.25" customHeight="1">
      <c r="A33" s="206"/>
      <c r="B33" s="645"/>
      <c r="C33" s="645"/>
      <c r="D33" s="205" t="s">
        <v>1093</v>
      </c>
      <c r="E33" s="645"/>
      <c r="F33" s="645"/>
    </row>
    <row r="34" spans="1:6" ht="14.25" customHeight="1">
      <c r="A34" s="206"/>
      <c r="B34" s="645"/>
      <c r="C34" s="645"/>
      <c r="D34" s="205" t="s">
        <v>1094</v>
      </c>
      <c r="E34" s="645"/>
      <c r="F34" s="645"/>
    </row>
    <row r="35" spans="1:6" ht="14.25" customHeight="1">
      <c r="A35" s="206"/>
      <c r="B35" s="645"/>
      <c r="C35" s="645"/>
      <c r="D35" s="394" t="s">
        <v>1095</v>
      </c>
      <c r="E35" s="645">
        <f>SUM(E25:E34)</f>
        <v>0</v>
      </c>
      <c r="F35" s="645">
        <f>SUM(F25:F34)</f>
        <v>0</v>
      </c>
    </row>
    <row r="36" spans="1:6" ht="14.25" customHeight="1">
      <c r="A36" s="412" t="s">
        <v>1096</v>
      </c>
      <c r="B36" s="645">
        <f>B26+B15</f>
        <v>0</v>
      </c>
      <c r="C36" s="645">
        <f>C26+C15</f>
        <v>0</v>
      </c>
      <c r="D36" s="394" t="s">
        <v>1097</v>
      </c>
      <c r="E36" s="645">
        <f>E23+E35</f>
        <v>0</v>
      </c>
      <c r="F36" s="645">
        <f>F23+F35</f>
        <v>0</v>
      </c>
    </row>
  </sheetData>
  <sheetProtection selectLockedCells="1"/>
  <mergeCells count="2">
    <mergeCell ref="A1:F1"/>
    <mergeCell ref="C3:D3"/>
  </mergeCells>
  <phoneticPr fontId="1"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E27"/>
  <sheetViews>
    <sheetView topLeftCell="A10" workbookViewId="0">
      <selection activeCell="B5" sqref="B5:C26"/>
    </sheetView>
  </sheetViews>
  <sheetFormatPr defaultColWidth="9" defaultRowHeight="14.5" customHeight="1"/>
  <cols>
    <col min="1" max="1" width="32.6328125" style="177" customWidth="1"/>
    <col min="2" max="3" width="20.6328125" style="177" customWidth="1"/>
    <col min="4" max="16384" width="9" style="177"/>
  </cols>
  <sheetData>
    <row r="1" spans="1:5" s="174" customFormat="1" ht="29.15" customHeight="1">
      <c r="A1" s="680" t="s">
        <v>1805</v>
      </c>
      <c r="B1" s="680"/>
      <c r="C1" s="680"/>
      <c r="D1" s="176"/>
      <c r="E1" s="176"/>
    </row>
    <row r="2" spans="1:5" s="174" customFormat="1" ht="14.25" customHeight="1">
      <c r="A2" s="109"/>
      <c r="B2" s="108"/>
      <c r="C2" s="109" t="s">
        <v>1098</v>
      </c>
    </row>
    <row r="3" spans="1:5" s="174" customFormat="1" ht="14.25" customHeight="1">
      <c r="A3" s="538" t="s">
        <v>1099</v>
      </c>
      <c r="B3" s="544" t="s">
        <v>1100</v>
      </c>
      <c r="C3" s="109" t="s">
        <v>1038</v>
      </c>
    </row>
    <row r="4" spans="1:5" s="174" customFormat="1" ht="14.25" customHeight="1">
      <c r="A4" s="206" t="s">
        <v>1101</v>
      </c>
      <c r="B4" s="393" t="s">
        <v>1102</v>
      </c>
      <c r="C4" s="393" t="s">
        <v>1103</v>
      </c>
    </row>
    <row r="5" spans="1:5" s="174" customFormat="1" ht="14.25" customHeight="1">
      <c r="A5" s="221" t="s">
        <v>1104</v>
      </c>
      <c r="B5" s="645">
        <f>SUM(B6:B10)</f>
        <v>0</v>
      </c>
      <c r="C5" s="645">
        <f>SUM(C6:C10)</f>
        <v>0</v>
      </c>
    </row>
    <row r="6" spans="1:5" s="174" customFormat="1" ht="14.25" customHeight="1">
      <c r="A6" s="206" t="s">
        <v>1105</v>
      </c>
      <c r="B6" s="645"/>
      <c r="C6" s="645"/>
    </row>
    <row r="7" spans="1:5" s="174" customFormat="1" ht="14.25" customHeight="1">
      <c r="A7" s="206" t="s">
        <v>1106</v>
      </c>
      <c r="B7" s="645"/>
      <c r="C7" s="645"/>
    </row>
    <row r="8" spans="1:5" s="174" customFormat="1" ht="14.25" customHeight="1">
      <c r="A8" s="206" t="s">
        <v>1107</v>
      </c>
      <c r="B8" s="645"/>
      <c r="C8" s="645"/>
    </row>
    <row r="9" spans="1:5" s="174" customFormat="1" ht="14.25" customHeight="1">
      <c r="A9" s="206" t="s">
        <v>1108</v>
      </c>
      <c r="B9" s="645"/>
      <c r="C9" s="645"/>
    </row>
    <row r="10" spans="1:5" s="174" customFormat="1" ht="14.25" customHeight="1">
      <c r="A10" s="206" t="s">
        <v>1109</v>
      </c>
      <c r="B10" s="645"/>
      <c r="C10" s="645"/>
    </row>
    <row r="11" spans="1:5" s="174" customFormat="1" ht="14.25" customHeight="1">
      <c r="A11" s="221" t="s">
        <v>1110</v>
      </c>
      <c r="B11" s="645">
        <f>SUM(B12:B15)</f>
        <v>0</v>
      </c>
      <c r="C11" s="645">
        <f>SUM(C12:C15)</f>
        <v>0</v>
      </c>
    </row>
    <row r="12" spans="1:5" s="174" customFormat="1" ht="14.25" customHeight="1">
      <c r="A12" s="206" t="s">
        <v>1111</v>
      </c>
      <c r="B12" s="645"/>
      <c r="C12" s="645"/>
    </row>
    <row r="13" spans="1:5" s="174" customFormat="1" ht="14.25" customHeight="1">
      <c r="A13" s="206" t="s">
        <v>1112</v>
      </c>
      <c r="B13" s="645"/>
      <c r="C13" s="645"/>
    </row>
    <row r="14" spans="1:5" s="174" customFormat="1" ht="14.25" customHeight="1">
      <c r="A14" s="206" t="s">
        <v>1113</v>
      </c>
      <c r="B14" s="645"/>
      <c r="C14" s="645"/>
    </row>
    <row r="15" spans="1:5" s="174" customFormat="1" ht="14.25" customHeight="1">
      <c r="A15" s="206" t="s">
        <v>1114</v>
      </c>
      <c r="B15" s="645"/>
      <c r="C15" s="645"/>
    </row>
    <row r="16" spans="1:5" s="174" customFormat="1" ht="14.25" customHeight="1">
      <c r="A16" s="221" t="s">
        <v>1115</v>
      </c>
      <c r="B16" s="645">
        <f>B17+B18</f>
        <v>0</v>
      </c>
      <c r="C16" s="645">
        <f>C17+C18</f>
        <v>0</v>
      </c>
    </row>
    <row r="17" spans="1:3" s="174" customFormat="1" ht="14.25" customHeight="1">
      <c r="A17" s="206" t="s">
        <v>1116</v>
      </c>
      <c r="B17" s="645"/>
      <c r="C17" s="645"/>
    </row>
    <row r="18" spans="1:3" s="174" customFormat="1" ht="14.25" customHeight="1">
      <c r="A18" s="206" t="s">
        <v>1117</v>
      </c>
      <c r="B18" s="645">
        <f>SUM(B19:B21)</f>
        <v>0</v>
      </c>
      <c r="C18" s="645">
        <f>SUM(C19:C21)</f>
        <v>0</v>
      </c>
    </row>
    <row r="19" spans="1:3" s="174" customFormat="1" ht="14.25" customHeight="1">
      <c r="A19" s="206" t="s">
        <v>1118</v>
      </c>
      <c r="B19" s="645"/>
      <c r="C19" s="645"/>
    </row>
    <row r="20" spans="1:3" s="174" customFormat="1" ht="14.25" customHeight="1">
      <c r="A20" s="206" t="s">
        <v>1119</v>
      </c>
      <c r="B20" s="645"/>
      <c r="C20" s="645"/>
    </row>
    <row r="21" spans="1:3" s="174" customFormat="1" ht="14.25" customHeight="1">
      <c r="A21" s="206" t="s">
        <v>1120</v>
      </c>
      <c r="B21" s="645"/>
      <c r="C21" s="645"/>
    </row>
    <row r="22" spans="1:3" s="174" customFormat="1" ht="14.25" customHeight="1">
      <c r="A22" s="221" t="s">
        <v>1121</v>
      </c>
      <c r="B22" s="645"/>
      <c r="C22" s="645"/>
    </row>
    <row r="23" spans="1:3" s="174" customFormat="1" ht="14.25" customHeight="1">
      <c r="A23" s="221" t="s">
        <v>1122</v>
      </c>
      <c r="B23" s="645"/>
      <c r="C23" s="645"/>
    </row>
    <row r="24" spans="1:3" s="174" customFormat="1" ht="14.25" customHeight="1">
      <c r="A24" s="206" t="s">
        <v>1123</v>
      </c>
      <c r="B24" s="645"/>
      <c r="C24" s="645"/>
    </row>
    <row r="25" spans="1:3" s="174" customFormat="1" ht="14.25" customHeight="1">
      <c r="A25" s="206" t="s">
        <v>1124</v>
      </c>
      <c r="B25" s="645"/>
      <c r="C25" s="645"/>
    </row>
    <row r="26" spans="1:3" s="174" customFormat="1" ht="14.25" customHeight="1">
      <c r="A26" s="221" t="s">
        <v>1125</v>
      </c>
      <c r="B26" s="645"/>
      <c r="C26" s="645"/>
    </row>
    <row r="27" spans="1:3" s="174" customFormat="1" ht="14.5" customHeight="1">
      <c r="A27" s="84"/>
      <c r="B27" s="84"/>
      <c r="C27" s="84"/>
    </row>
  </sheetData>
  <sheetProtection selectLockedCells="1"/>
  <mergeCells count="1">
    <mergeCell ref="A1:C1"/>
  </mergeCells>
  <phoneticPr fontId="1"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D7"/>
  <sheetViews>
    <sheetView workbookViewId="0">
      <selection activeCell="D6" sqref="D6"/>
    </sheetView>
  </sheetViews>
  <sheetFormatPr defaultColWidth="9" defaultRowHeight="14.25" customHeight="1"/>
  <cols>
    <col min="1" max="1" width="23.6328125" style="106" customWidth="1"/>
    <col min="2" max="2" width="21.90625" style="106" customWidth="1"/>
    <col min="3" max="3" width="25" style="106" customWidth="1"/>
    <col min="4" max="4" width="24.26953125" style="106" customWidth="1"/>
    <col min="5" max="16384" width="9" style="106"/>
  </cols>
  <sheetData>
    <row r="1" spans="1:4" ht="14.25" customHeight="1">
      <c r="A1" s="657" t="s">
        <v>1678</v>
      </c>
      <c r="B1" s="657"/>
      <c r="C1" s="657"/>
      <c r="D1" s="658"/>
    </row>
    <row r="2" spans="1:4" ht="14.25" customHeight="1">
      <c r="A2" s="429" t="s">
        <v>1918</v>
      </c>
      <c r="B2" s="500" t="s">
        <v>2167</v>
      </c>
      <c r="C2" s="381" t="s">
        <v>1915</v>
      </c>
      <c r="D2" s="523" t="s">
        <v>2168</v>
      </c>
    </row>
    <row r="3" spans="1:4" ht="14.25" customHeight="1">
      <c r="A3" s="429" t="s">
        <v>1919</v>
      </c>
      <c r="B3" s="500">
        <v>2018</v>
      </c>
      <c r="C3" s="382" t="s">
        <v>1920</v>
      </c>
      <c r="D3" s="523" t="s">
        <v>1682</v>
      </c>
    </row>
    <row r="4" spans="1:4" ht="14.25" customHeight="1">
      <c r="A4" s="382" t="s">
        <v>1921</v>
      </c>
      <c r="B4" s="571" t="s">
        <v>2169</v>
      </c>
      <c r="C4" s="382" t="s">
        <v>1922</v>
      </c>
      <c r="D4" s="571" t="s">
        <v>2170</v>
      </c>
    </row>
    <row r="5" spans="1:4" ht="14.25" customHeight="1">
      <c r="A5" s="382" t="s">
        <v>1912</v>
      </c>
      <c r="B5" s="523"/>
      <c r="C5" s="382" t="s">
        <v>1917</v>
      </c>
      <c r="D5" s="523"/>
    </row>
    <row r="6" spans="1:4" ht="14.25" customHeight="1">
      <c r="A6" s="382" t="s">
        <v>1913</v>
      </c>
      <c r="B6" s="523"/>
      <c r="C6" s="386" t="s">
        <v>1738</v>
      </c>
      <c r="D6" s="523" t="s">
        <v>2171</v>
      </c>
    </row>
    <row r="7" spans="1:4" ht="14.25" customHeight="1">
      <c r="A7" s="381" t="s">
        <v>1731</v>
      </c>
      <c r="B7" s="523" t="s">
        <v>2127</v>
      </c>
      <c r="C7" s="381" t="s">
        <v>1739</v>
      </c>
      <c r="D7" s="523" t="s">
        <v>2127</v>
      </c>
    </row>
  </sheetData>
  <sheetProtection selectLockedCells="1"/>
  <mergeCells count="1">
    <mergeCell ref="A1:D1"/>
  </mergeCells>
  <phoneticPr fontId="1" type="noConversion"/>
  <dataValidations count="8">
    <dataValidation type="whole" operator="notEqual" allowBlank="1" showInputMessage="1" showErrorMessage="1" error="请输入整数" sqref="D5">
      <formula1>-99999</formula1>
    </dataValidation>
    <dataValidation type="whole" operator="notEqual" allowBlank="1" showInputMessage="1" showErrorMessage="1" error="请输入整数" sqref="B5">
      <formula1>-99999999</formula1>
    </dataValidation>
    <dataValidation type="list" allowBlank="1" showInputMessage="1" showErrorMessage="1" sqref="B4 D4">
      <formula1>"请选择,一月,二月,三月,四月,五月,六月,七月,八月,九月,十月,十一月,十二月"</formula1>
    </dataValidation>
    <dataValidation type="list" allowBlank="1" showInputMessage="1" showErrorMessage="1" sqref="D3">
      <formula1>"请选择,一季度,二季度,三季度,四季度"</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2">
      <formula1>"请选择,年度,季度,按月份"</formula1>
    </dataValidation>
    <dataValidation type="list" allowBlank="1" showInputMessage="1" showErrorMessage="1" sqref="B2">
      <formula1>"请选择,中央企业集团,上市公司,其它公司"</formula1>
    </dataValidation>
    <dataValidation type="list" allowBlank="1" showInputMessage="1" showErrorMessage="1" sqref="D6">
      <formula1>"请选择,无保留意见,保留意见,无保留意见带强调事项,否定意见,无法表示意见"</formula1>
    </dataValidation>
  </dataValidations>
  <pageMargins left="0.7" right="0.7" top="0.75" bottom="0.75" header="0.3" footer="0.3"/>
  <pageSetup paperSize="9" orientation="portrait" horizontalDpi="180" verticalDpi="18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56"/>
  <sheetViews>
    <sheetView zoomScale="85" zoomScaleNormal="85" workbookViewId="0">
      <selection activeCell="A4" sqref="A4"/>
    </sheetView>
  </sheetViews>
  <sheetFormatPr defaultColWidth="9" defaultRowHeight="14.5" customHeight="1"/>
  <cols>
    <col min="1" max="1" width="25.453125" style="178" customWidth="1"/>
    <col min="2" max="3" width="20.6328125" style="178" customWidth="1"/>
    <col min="4" max="4" width="27.08984375" style="178" customWidth="1"/>
    <col min="5" max="6" width="20.6328125" style="189" customWidth="1"/>
    <col min="7" max="16384" width="9" style="178"/>
  </cols>
  <sheetData>
    <row r="1" spans="1:6" ht="13">
      <c r="A1" s="459"/>
      <c r="B1" s="460"/>
      <c r="C1" s="460"/>
      <c r="D1" s="460"/>
      <c r="E1" s="461"/>
      <c r="F1" s="519" t="s">
        <v>1126</v>
      </c>
    </row>
    <row r="2" spans="1:6" ht="29.15" customHeight="1">
      <c r="A2" s="705" t="s">
        <v>1675</v>
      </c>
      <c r="B2" s="706"/>
      <c r="C2" s="706"/>
      <c r="D2" s="706"/>
      <c r="E2" s="706"/>
      <c r="F2" s="706"/>
    </row>
    <row r="3" spans="1:6" ht="14.25" customHeight="1">
      <c r="A3" s="546" t="str">
        <f>'11业务情况'!B3&amp;"年12月31日"</f>
        <v>2018年12月31日</v>
      </c>
      <c r="B3" s="546"/>
      <c r="C3" s="557"/>
      <c r="D3" s="463"/>
      <c r="E3" s="464"/>
      <c r="F3" s="464"/>
    </row>
    <row r="4" spans="1:6" ht="14.25" customHeight="1">
      <c r="A4" s="545" t="str">
        <f>"编制单位："&amp;基础资料!D3</f>
        <v>编制单位：</v>
      </c>
      <c r="B4" s="462"/>
      <c r="C4" s="460"/>
      <c r="D4" s="460"/>
      <c r="E4" s="707" t="s">
        <v>717</v>
      </c>
      <c r="F4" s="708"/>
    </row>
    <row r="5" spans="1:6" ht="14.25" customHeight="1">
      <c r="A5" s="179" t="s">
        <v>410</v>
      </c>
      <c r="B5" s="60" t="s">
        <v>1127</v>
      </c>
      <c r="C5" s="179" t="s">
        <v>1128</v>
      </c>
      <c r="D5" s="179" t="s">
        <v>410</v>
      </c>
      <c r="E5" s="180" t="s">
        <v>1127</v>
      </c>
      <c r="F5" s="60" t="s">
        <v>1128</v>
      </c>
    </row>
    <row r="6" spans="1:6" ht="14.25" customHeight="1">
      <c r="A6" s="181" t="s">
        <v>511</v>
      </c>
      <c r="B6" s="617"/>
      <c r="C6" s="617"/>
      <c r="D6" s="181" t="s">
        <v>6</v>
      </c>
      <c r="E6" s="623"/>
      <c r="F6" s="617"/>
    </row>
    <row r="7" spans="1:6" ht="14.25" customHeight="1">
      <c r="A7" s="182" t="s">
        <v>1129</v>
      </c>
      <c r="B7" s="618"/>
      <c r="C7" s="618"/>
      <c r="D7" s="183" t="s">
        <v>1130</v>
      </c>
      <c r="E7" s="621"/>
      <c r="F7" s="620"/>
    </row>
    <row r="8" spans="1:6" ht="14.25" customHeight="1">
      <c r="A8" s="182" t="s">
        <v>1131</v>
      </c>
      <c r="B8" s="618"/>
      <c r="C8" s="618"/>
      <c r="D8" s="183" t="s">
        <v>1132</v>
      </c>
      <c r="E8" s="621"/>
      <c r="F8" s="620"/>
    </row>
    <row r="9" spans="1:6" ht="14.25" customHeight="1">
      <c r="A9" s="182" t="s">
        <v>1133</v>
      </c>
      <c r="B9" s="618"/>
      <c r="C9" s="618"/>
      <c r="D9" s="183" t="s">
        <v>1134</v>
      </c>
      <c r="E9" s="621"/>
      <c r="F9" s="620"/>
    </row>
    <row r="10" spans="1:6" ht="14.25" customHeight="1">
      <c r="A10" s="182" t="s">
        <v>1135</v>
      </c>
      <c r="B10" s="618"/>
      <c r="C10" s="618"/>
      <c r="D10" s="183" t="s">
        <v>1136</v>
      </c>
      <c r="E10" s="621"/>
      <c r="F10" s="620"/>
    </row>
    <row r="11" spans="1:6" ht="14.25" customHeight="1">
      <c r="A11" s="182" t="s">
        <v>1137</v>
      </c>
      <c r="B11" s="618"/>
      <c r="C11" s="618"/>
      <c r="D11" s="183" t="s">
        <v>1138</v>
      </c>
      <c r="E11" s="621"/>
      <c r="F11" s="620"/>
    </row>
    <row r="12" spans="1:6" ht="14.25" customHeight="1">
      <c r="A12" s="182" t="s">
        <v>1139</v>
      </c>
      <c r="B12" s="618"/>
      <c r="C12" s="618"/>
      <c r="D12" s="183" t="s">
        <v>1140</v>
      </c>
      <c r="E12" s="621"/>
      <c r="F12" s="620"/>
    </row>
    <row r="13" spans="1:6" ht="14.25" customHeight="1">
      <c r="A13" s="182" t="s">
        <v>1141</v>
      </c>
      <c r="B13" s="618"/>
      <c r="C13" s="618"/>
      <c r="D13" s="183" t="s">
        <v>1142</v>
      </c>
      <c r="E13" s="621"/>
      <c r="F13" s="620"/>
    </row>
    <row r="14" spans="1:6" ht="14.25" customHeight="1">
      <c r="A14" s="182" t="s">
        <v>1143</v>
      </c>
      <c r="B14" s="618"/>
      <c r="C14" s="618"/>
      <c r="D14" s="183" t="s">
        <v>1144</v>
      </c>
      <c r="E14" s="621"/>
      <c r="F14" s="620"/>
    </row>
    <row r="15" spans="1:6" ht="14.25" customHeight="1">
      <c r="A15" s="179" t="s">
        <v>1811</v>
      </c>
      <c r="B15" s="619">
        <f>ROUND(SUM(B7:B14),2)</f>
        <v>0</v>
      </c>
      <c r="C15" s="619">
        <f>ROUND(SUM(C7:C14),2)</f>
        <v>0</v>
      </c>
      <c r="D15" s="183" t="s">
        <v>1145</v>
      </c>
      <c r="E15" s="621"/>
      <c r="F15" s="620"/>
    </row>
    <row r="16" spans="1:6" ht="14.25" customHeight="1">
      <c r="A16" s="185"/>
      <c r="B16" s="619"/>
      <c r="C16" s="619"/>
      <c r="D16" s="186" t="s">
        <v>1810</v>
      </c>
      <c r="E16" s="619">
        <f>ROUND(SUM(E7:E15),2)</f>
        <v>0</v>
      </c>
      <c r="F16" s="619">
        <f>ROUND(SUM(F7:F15),2)</f>
        <v>0</v>
      </c>
    </row>
    <row r="17" spans="1:6" ht="14.25" customHeight="1">
      <c r="A17" s="187" t="s">
        <v>1146</v>
      </c>
      <c r="B17" s="620"/>
      <c r="C17" s="620"/>
      <c r="D17" s="186"/>
      <c r="E17" s="619"/>
      <c r="F17" s="619"/>
    </row>
    <row r="18" spans="1:6" ht="14.25" customHeight="1">
      <c r="A18" s="182" t="s">
        <v>1147</v>
      </c>
      <c r="B18" s="621"/>
      <c r="C18" s="618"/>
      <c r="D18" s="183"/>
      <c r="E18" s="620"/>
      <c r="F18" s="620"/>
    </row>
    <row r="19" spans="1:6" ht="14.25" customHeight="1">
      <c r="A19" s="182" t="s">
        <v>1148</v>
      </c>
      <c r="B19" s="621"/>
      <c r="C19" s="618"/>
      <c r="D19" s="181" t="s">
        <v>1149</v>
      </c>
      <c r="E19" s="621"/>
      <c r="F19" s="620"/>
    </row>
    <row r="20" spans="1:6" ht="14.25" customHeight="1">
      <c r="A20" s="179" t="s">
        <v>1812</v>
      </c>
      <c r="B20" s="619">
        <f>ROUND(B18+B19,2)</f>
        <v>0</v>
      </c>
      <c r="C20" s="619">
        <f>ROUND(C18+C19,2)</f>
        <v>0</v>
      </c>
      <c r="D20" s="183" t="s">
        <v>1150</v>
      </c>
      <c r="E20" s="621"/>
      <c r="F20" s="620"/>
    </row>
    <row r="21" spans="1:6" ht="14.25" customHeight="1">
      <c r="A21" s="187"/>
      <c r="B21" s="619"/>
      <c r="C21" s="619"/>
      <c r="D21" s="183" t="s">
        <v>1151</v>
      </c>
      <c r="E21" s="621"/>
      <c r="F21" s="620"/>
    </row>
    <row r="22" spans="1:6" ht="14.25" customHeight="1">
      <c r="A22" s="187" t="s">
        <v>1152</v>
      </c>
      <c r="B22" s="620"/>
      <c r="C22" s="620"/>
      <c r="D22" s="183" t="s">
        <v>1153</v>
      </c>
      <c r="E22" s="621"/>
      <c r="F22" s="620"/>
    </row>
    <row r="23" spans="1:6" ht="14.25" customHeight="1">
      <c r="A23" s="182" t="s">
        <v>1154</v>
      </c>
      <c r="B23" s="618"/>
      <c r="C23" s="618"/>
      <c r="D23" s="186" t="s">
        <v>1813</v>
      </c>
      <c r="E23" s="622">
        <f>ROUND(SUM(E20:E22),2)</f>
        <v>0</v>
      </c>
      <c r="F23" s="622">
        <f>ROUND(SUM(F20:F22),2)</f>
        <v>0</v>
      </c>
    </row>
    <row r="24" spans="1:6" ht="14.25" customHeight="1">
      <c r="A24" s="182" t="s">
        <v>1155</v>
      </c>
      <c r="B24" s="618"/>
      <c r="C24" s="618"/>
      <c r="D24" s="182"/>
      <c r="E24" s="621"/>
      <c r="F24" s="621"/>
    </row>
    <row r="25" spans="1:6" ht="14.25" customHeight="1">
      <c r="A25" s="182" t="s">
        <v>1156</v>
      </c>
      <c r="B25" s="618">
        <f>B23-B24</f>
        <v>0</v>
      </c>
      <c r="C25" s="618">
        <f>C23-C24</f>
        <v>0</v>
      </c>
      <c r="D25" s="182"/>
      <c r="E25" s="621"/>
      <c r="F25" s="621"/>
    </row>
    <row r="26" spans="1:6" ht="14.25" customHeight="1">
      <c r="A26" s="182" t="s">
        <v>1157</v>
      </c>
      <c r="B26" s="618"/>
      <c r="C26" s="618"/>
      <c r="D26" s="181" t="s">
        <v>1806</v>
      </c>
      <c r="E26" s="620"/>
      <c r="F26" s="620"/>
    </row>
    <row r="27" spans="1:6" ht="14.25" customHeight="1">
      <c r="A27" s="182" t="s">
        <v>1158</v>
      </c>
      <c r="B27" s="618"/>
      <c r="C27" s="618"/>
      <c r="D27" s="183" t="s">
        <v>1159</v>
      </c>
      <c r="E27" s="622">
        <v>0</v>
      </c>
      <c r="F27" s="619">
        <v>0</v>
      </c>
    </row>
    <row r="28" spans="1:6" ht="14.25" customHeight="1">
      <c r="A28" s="182" t="s">
        <v>1160</v>
      </c>
      <c r="B28" s="618"/>
      <c r="C28" s="618"/>
      <c r="D28" s="183"/>
      <c r="E28" s="622"/>
      <c r="F28" s="619"/>
    </row>
    <row r="29" spans="1:6" ht="14.25" customHeight="1">
      <c r="A29" s="179" t="s">
        <v>1814</v>
      </c>
      <c r="B29" s="619">
        <f>ROUND(SUM(B25:B28),2)</f>
        <v>0</v>
      </c>
      <c r="C29" s="619">
        <f>ROUND(SUM(C25:C28),2)</f>
        <v>0</v>
      </c>
      <c r="D29" s="183"/>
      <c r="E29" s="622"/>
      <c r="F29" s="619"/>
    </row>
    <row r="30" spans="1:6" ht="14.25" customHeight="1">
      <c r="A30" s="179"/>
      <c r="B30" s="619"/>
      <c r="C30" s="619"/>
      <c r="D30" s="186" t="s">
        <v>1815</v>
      </c>
      <c r="E30" s="622">
        <f>ROUND(E16+E23+E27,2)</f>
        <v>0</v>
      </c>
      <c r="F30" s="619">
        <f>ROUND(F23+F27+F16,2)</f>
        <v>0</v>
      </c>
    </row>
    <row r="31" spans="1:6" ht="14.25" customHeight="1">
      <c r="A31" s="187" t="s">
        <v>1807</v>
      </c>
      <c r="B31" s="620"/>
      <c r="C31" s="620"/>
      <c r="D31" s="188"/>
      <c r="E31" s="619"/>
      <c r="F31" s="619"/>
    </row>
    <row r="32" spans="1:6" ht="14.25" customHeight="1">
      <c r="A32" s="182" t="s">
        <v>1161</v>
      </c>
      <c r="B32" s="621"/>
      <c r="C32" s="618"/>
      <c r="D32" s="183"/>
      <c r="E32" s="621"/>
      <c r="F32" s="621"/>
    </row>
    <row r="33" spans="1:6" ht="14.25" customHeight="1">
      <c r="A33" s="182" t="s">
        <v>1162</v>
      </c>
      <c r="B33" s="621"/>
      <c r="C33" s="618"/>
      <c r="D33" s="181" t="s">
        <v>1808</v>
      </c>
      <c r="E33" s="620"/>
      <c r="F33" s="620"/>
    </row>
    <row r="34" spans="1:6" ht="14.25" customHeight="1">
      <c r="A34" s="179" t="s">
        <v>1816</v>
      </c>
      <c r="B34" s="619">
        <f>ROUND(SUM(B32:B33),2)</f>
        <v>0</v>
      </c>
      <c r="C34" s="619">
        <f>ROUND(SUM(C32:C33),2)</f>
        <v>0</v>
      </c>
      <c r="D34" s="183" t="s">
        <v>1163</v>
      </c>
      <c r="E34" s="621"/>
      <c r="F34" s="621"/>
    </row>
    <row r="35" spans="1:6" ht="14.25" customHeight="1">
      <c r="A35" s="179"/>
      <c r="B35" s="619"/>
      <c r="C35" s="619"/>
      <c r="D35" s="183" t="s">
        <v>1164</v>
      </c>
      <c r="E35" s="621"/>
      <c r="F35" s="620"/>
    </row>
    <row r="36" spans="1:6" ht="14.25" customHeight="1">
      <c r="A36" s="187" t="s">
        <v>1809</v>
      </c>
      <c r="B36" s="620"/>
      <c r="C36" s="620"/>
      <c r="D36" s="186" t="s">
        <v>1817</v>
      </c>
      <c r="E36" s="619">
        <v>0</v>
      </c>
      <c r="F36" s="619">
        <v>0</v>
      </c>
    </row>
    <row r="37" spans="1:6" ht="14.25" customHeight="1">
      <c r="A37" s="182" t="s">
        <v>1165</v>
      </c>
      <c r="B37" s="622">
        <v>0</v>
      </c>
      <c r="C37" s="622">
        <v>0</v>
      </c>
      <c r="D37" s="183"/>
      <c r="E37" s="621"/>
      <c r="F37" s="621"/>
    </row>
    <row r="38" spans="1:6" ht="14.25" customHeight="1">
      <c r="A38" s="182"/>
      <c r="B38" s="621"/>
      <c r="C38" s="621"/>
      <c r="D38" s="183"/>
      <c r="E38" s="621"/>
      <c r="F38" s="621"/>
    </row>
    <row r="39" spans="1:6" ht="14.25" customHeight="1">
      <c r="A39" s="179" t="s">
        <v>1818</v>
      </c>
      <c r="B39" s="619">
        <f>ROUND(B37+B34+B29+B20+B15,2)</f>
        <v>0</v>
      </c>
      <c r="C39" s="619">
        <f>ROUND(C37+C34+C29+C20+C15,2)</f>
        <v>0</v>
      </c>
      <c r="D39" s="186" t="s">
        <v>1166</v>
      </c>
      <c r="E39" s="619">
        <f>ROUND(E36+E30,2)</f>
        <v>0</v>
      </c>
      <c r="F39" s="619">
        <f>ROUND(F36+F30,2)</f>
        <v>0</v>
      </c>
    </row>
    <row r="40" spans="1:6" s="467" customFormat="1" ht="14.25" customHeight="1">
      <c r="A40" s="465" t="s">
        <v>1167</v>
      </c>
      <c r="B40" s="459"/>
      <c r="C40" s="459"/>
      <c r="D40" s="459"/>
      <c r="E40" s="466"/>
      <c r="F40" s="520"/>
    </row>
    <row r="41" spans="1:6" s="467" customFormat="1" ht="14.25" customHeight="1">
      <c r="A41" s="548" t="s">
        <v>1168</v>
      </c>
      <c r="B41" s="548"/>
      <c r="C41" s="548" t="s">
        <v>1169</v>
      </c>
      <c r="D41" s="548"/>
      <c r="E41" s="549" t="s">
        <v>1170</v>
      </c>
      <c r="F41" s="466"/>
    </row>
    <row r="42" spans="1:6" s="467" customFormat="1" ht="14.5" customHeight="1">
      <c r="E42" s="468"/>
      <c r="F42" s="468"/>
    </row>
    <row r="43" spans="1:6" s="467" customFormat="1" ht="14.5" customHeight="1">
      <c r="E43" s="468"/>
      <c r="F43" s="468"/>
    </row>
    <row r="44" spans="1:6" s="467" customFormat="1" ht="14.5" customHeight="1">
      <c r="E44" s="468"/>
      <c r="F44" s="468"/>
    </row>
    <row r="45" spans="1:6" s="467" customFormat="1" ht="14.5" customHeight="1">
      <c r="E45" s="468"/>
      <c r="F45" s="468"/>
    </row>
    <row r="46" spans="1:6" s="467" customFormat="1" ht="14.5" customHeight="1">
      <c r="E46" s="468"/>
      <c r="F46" s="468"/>
    </row>
    <row r="47" spans="1:6" s="467" customFormat="1" ht="14.5" customHeight="1">
      <c r="E47" s="468"/>
      <c r="F47" s="468"/>
    </row>
    <row r="48" spans="1:6" s="467" customFormat="1" ht="14.5" customHeight="1">
      <c r="E48" s="468"/>
      <c r="F48" s="468"/>
    </row>
    <row r="49" spans="5:6" s="467" customFormat="1" ht="14.5" customHeight="1">
      <c r="E49" s="468"/>
      <c r="F49" s="468"/>
    </row>
    <row r="50" spans="5:6" s="467" customFormat="1" ht="14.5" customHeight="1">
      <c r="E50" s="468"/>
      <c r="F50" s="468"/>
    </row>
    <row r="51" spans="5:6" s="467" customFormat="1" ht="14.5" customHeight="1">
      <c r="E51" s="468"/>
      <c r="F51" s="468"/>
    </row>
    <row r="52" spans="5:6" s="467" customFormat="1" ht="14.5" customHeight="1">
      <c r="E52" s="468"/>
      <c r="F52" s="468"/>
    </row>
    <row r="53" spans="5:6" s="467" customFormat="1" ht="14.5" customHeight="1">
      <c r="E53" s="468"/>
      <c r="F53" s="468"/>
    </row>
    <row r="54" spans="5:6" s="467" customFormat="1" ht="14.5" customHeight="1">
      <c r="E54" s="468"/>
      <c r="F54" s="468"/>
    </row>
    <row r="55" spans="5:6" s="467" customFormat="1" ht="14.5" customHeight="1">
      <c r="E55" s="468"/>
      <c r="F55" s="468"/>
    </row>
    <row r="56" spans="5:6" s="467" customFormat="1" ht="14.5" customHeight="1">
      <c r="E56" s="468"/>
      <c r="F56" s="468"/>
    </row>
  </sheetData>
  <sheetProtection selectLockedCells="1"/>
  <mergeCells count="2">
    <mergeCell ref="A2:F2"/>
    <mergeCell ref="E4:F4"/>
  </mergeCells>
  <phoneticPr fontId="1"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G48"/>
  <sheetViews>
    <sheetView zoomScale="85" zoomScaleNormal="85" workbookViewId="0">
      <selection activeCell="A3" sqref="A3:G3"/>
    </sheetView>
  </sheetViews>
  <sheetFormatPr defaultColWidth="9" defaultRowHeight="14.25" customHeight="1"/>
  <cols>
    <col min="1" max="1" width="46.08984375" style="191" customWidth="1"/>
    <col min="2" max="7" width="20.6328125" style="191" customWidth="1"/>
    <col min="8" max="16384" width="9" style="191"/>
  </cols>
  <sheetData>
    <row r="1" spans="1:7" ht="14.25" customHeight="1">
      <c r="A1" s="469"/>
      <c r="B1" s="469"/>
      <c r="C1" s="469"/>
      <c r="D1" s="470"/>
      <c r="E1" s="470"/>
      <c r="F1" s="470"/>
      <c r="G1" s="470" t="s">
        <v>408</v>
      </c>
    </row>
    <row r="2" spans="1:7" s="348" customFormat="1" ht="29.15" customHeight="1">
      <c r="A2" s="709" t="s">
        <v>1171</v>
      </c>
      <c r="B2" s="709"/>
      <c r="C2" s="709"/>
      <c r="D2" s="709"/>
      <c r="E2" s="709"/>
      <c r="F2" s="709"/>
      <c r="G2" s="709"/>
    </row>
    <row r="3" spans="1:7" ht="14.25" customHeight="1">
      <c r="A3" s="710" t="str">
        <f>'11业务情况'!B3&amp;"年度"</f>
        <v>2018年度</v>
      </c>
      <c r="B3" s="710"/>
      <c r="C3" s="710"/>
      <c r="D3" s="710"/>
      <c r="E3" s="710"/>
      <c r="F3" s="710"/>
      <c r="G3" s="710"/>
    </row>
    <row r="4" spans="1:7" ht="14.25" customHeight="1">
      <c r="A4" s="471"/>
      <c r="B4" s="471"/>
      <c r="C4" s="471"/>
      <c r="D4" s="472"/>
      <c r="E4" s="472"/>
      <c r="F4" s="472"/>
      <c r="G4" s="472"/>
    </row>
    <row r="5" spans="1:7" ht="14.25" customHeight="1">
      <c r="A5" s="547" t="str">
        <f>'11资产负债表'!A4</f>
        <v>编制单位：</v>
      </c>
      <c r="B5" s="473"/>
      <c r="C5" s="473"/>
      <c r="D5" s="474"/>
      <c r="E5" s="474"/>
      <c r="F5" s="474"/>
      <c r="G5" s="474" t="s">
        <v>409</v>
      </c>
    </row>
    <row r="6" spans="1:7" ht="14.25" customHeight="1">
      <c r="A6" s="711" t="s">
        <v>410</v>
      </c>
      <c r="B6" s="713" t="s">
        <v>1172</v>
      </c>
      <c r="C6" s="714"/>
      <c r="D6" s="715"/>
      <c r="E6" s="716" t="s">
        <v>1173</v>
      </c>
      <c r="F6" s="716"/>
      <c r="G6" s="716"/>
    </row>
    <row r="7" spans="1:7" ht="14.25" customHeight="1">
      <c r="A7" s="712"/>
      <c r="B7" s="192" t="s">
        <v>1174</v>
      </c>
      <c r="C7" s="193" t="s">
        <v>1175</v>
      </c>
      <c r="D7" s="194" t="s">
        <v>1176</v>
      </c>
      <c r="E7" s="193" t="s">
        <v>1177</v>
      </c>
      <c r="F7" s="193" t="s">
        <v>1178</v>
      </c>
      <c r="G7" s="194" t="s">
        <v>1176</v>
      </c>
    </row>
    <row r="8" spans="1:7" ht="14.25" customHeight="1">
      <c r="A8" s="195" t="s">
        <v>1179</v>
      </c>
      <c r="B8" s="624"/>
      <c r="C8" s="625"/>
      <c r="D8" s="626"/>
      <c r="E8" s="622"/>
      <c r="F8" s="622"/>
      <c r="G8" s="622"/>
    </row>
    <row r="9" spans="1:7" ht="14.25" customHeight="1">
      <c r="A9" s="196" t="s">
        <v>1180</v>
      </c>
      <c r="B9" s="594"/>
      <c r="C9" s="593"/>
      <c r="D9" s="627"/>
      <c r="E9" s="621"/>
      <c r="F9" s="621"/>
      <c r="G9" s="628"/>
    </row>
    <row r="10" spans="1:7" ht="14.25" customHeight="1">
      <c r="A10" s="196" t="s">
        <v>1181</v>
      </c>
      <c r="B10" s="594"/>
      <c r="C10" s="593"/>
      <c r="D10" s="627"/>
      <c r="E10" s="621"/>
      <c r="F10" s="621"/>
      <c r="G10" s="628"/>
    </row>
    <row r="11" spans="1:7" ht="14.25" customHeight="1">
      <c r="A11" s="196" t="s">
        <v>1182</v>
      </c>
      <c r="B11" s="594"/>
      <c r="C11" s="593"/>
      <c r="D11" s="627"/>
      <c r="E11" s="621"/>
      <c r="F11" s="621"/>
      <c r="G11" s="628"/>
    </row>
    <row r="12" spans="1:7" ht="14.25" customHeight="1">
      <c r="A12" s="196" t="s">
        <v>1183</v>
      </c>
      <c r="B12" s="594"/>
      <c r="C12" s="593"/>
      <c r="D12" s="627"/>
      <c r="E12" s="621"/>
      <c r="F12" s="621"/>
      <c r="G12" s="628"/>
    </row>
    <row r="13" spans="1:7" ht="14.25" customHeight="1">
      <c r="A13" s="196" t="s">
        <v>1184</v>
      </c>
      <c r="B13" s="594"/>
      <c r="C13" s="593"/>
      <c r="D13" s="627"/>
      <c r="E13" s="621"/>
      <c r="F13" s="621"/>
      <c r="G13" s="628"/>
    </row>
    <row r="14" spans="1:7" ht="14.25" customHeight="1">
      <c r="A14" s="196" t="s">
        <v>1185</v>
      </c>
      <c r="B14" s="594"/>
      <c r="C14" s="593"/>
      <c r="D14" s="627"/>
      <c r="E14" s="621"/>
      <c r="F14" s="621"/>
      <c r="G14" s="628"/>
    </row>
    <row r="15" spans="1:7" ht="14.25" customHeight="1">
      <c r="A15" s="196" t="s">
        <v>1186</v>
      </c>
      <c r="B15" s="594"/>
      <c r="C15" s="593"/>
      <c r="D15" s="627"/>
      <c r="E15" s="621"/>
      <c r="F15" s="621"/>
      <c r="G15" s="628"/>
    </row>
    <row r="16" spans="1:7" ht="14.25" customHeight="1">
      <c r="A16" s="197" t="s">
        <v>1187</v>
      </c>
      <c r="B16" s="629">
        <f t="shared" ref="B16:G16" si="0">ROUND(SUM(B9:B15),2)</f>
        <v>0</v>
      </c>
      <c r="C16" s="629">
        <f t="shared" si="0"/>
        <v>0</v>
      </c>
      <c r="D16" s="629">
        <f t="shared" si="0"/>
        <v>0</v>
      </c>
      <c r="E16" s="622">
        <f t="shared" si="0"/>
        <v>0</v>
      </c>
      <c r="F16" s="622">
        <f t="shared" si="0"/>
        <v>0</v>
      </c>
      <c r="G16" s="622">
        <f t="shared" si="0"/>
        <v>0</v>
      </c>
    </row>
    <row r="17" spans="1:7" ht="14.25" customHeight="1">
      <c r="A17" s="198" t="s">
        <v>1188</v>
      </c>
      <c r="B17" s="630"/>
      <c r="C17" s="630"/>
      <c r="D17" s="631"/>
      <c r="E17" s="621"/>
      <c r="F17" s="621"/>
      <c r="G17" s="621"/>
    </row>
    <row r="18" spans="1:7" ht="14.25" customHeight="1">
      <c r="A18" s="196" t="s">
        <v>1189</v>
      </c>
      <c r="B18" s="594"/>
      <c r="C18" s="627"/>
      <c r="D18" s="632"/>
      <c r="E18" s="621"/>
      <c r="F18" s="628"/>
      <c r="G18" s="621"/>
    </row>
    <row r="19" spans="1:7" ht="14.25" customHeight="1">
      <c r="A19" s="196" t="s">
        <v>1190</v>
      </c>
      <c r="B19" s="594"/>
      <c r="C19" s="627"/>
      <c r="D19" s="632"/>
      <c r="E19" s="621"/>
      <c r="F19" s="628"/>
      <c r="G19" s="621"/>
    </row>
    <row r="20" spans="1:7" ht="14.25" customHeight="1">
      <c r="A20" s="196" t="s">
        <v>1191</v>
      </c>
      <c r="B20" s="594"/>
      <c r="C20" s="627"/>
      <c r="D20" s="632"/>
      <c r="E20" s="621"/>
      <c r="F20" s="628"/>
      <c r="G20" s="621"/>
    </row>
    <row r="21" spans="1:7" ht="14.25" customHeight="1">
      <c r="A21" s="196" t="s">
        <v>1192</v>
      </c>
      <c r="B21" s="594"/>
      <c r="C21" s="627"/>
      <c r="D21" s="632"/>
      <c r="E21" s="621"/>
      <c r="F21" s="628"/>
      <c r="G21" s="621"/>
    </row>
    <row r="22" spans="1:7" ht="14.25" customHeight="1">
      <c r="A22" s="196" t="s">
        <v>1193</v>
      </c>
      <c r="B22" s="594"/>
      <c r="C22" s="627"/>
      <c r="D22" s="632"/>
      <c r="E22" s="621"/>
      <c r="F22" s="628"/>
      <c r="G22" s="621"/>
    </row>
    <row r="23" spans="1:7" ht="14.25" customHeight="1">
      <c r="A23" s="196" t="s">
        <v>1194</v>
      </c>
      <c r="B23" s="594"/>
      <c r="C23" s="627"/>
      <c r="D23" s="632"/>
      <c r="E23" s="621"/>
      <c r="F23" s="628"/>
      <c r="G23" s="621"/>
    </row>
    <row r="24" spans="1:7" ht="14.25" customHeight="1">
      <c r="A24" s="196" t="s">
        <v>1195</v>
      </c>
      <c r="B24" s="594"/>
      <c r="C24" s="627"/>
      <c r="D24" s="632"/>
      <c r="E24" s="621"/>
      <c r="F24" s="628"/>
      <c r="G24" s="621"/>
    </row>
    <row r="25" spans="1:7" ht="14.25" customHeight="1">
      <c r="A25" s="196" t="s">
        <v>1196</v>
      </c>
      <c r="B25" s="594"/>
      <c r="C25" s="627"/>
      <c r="D25" s="632"/>
      <c r="E25" s="621"/>
      <c r="F25" s="628"/>
      <c r="G25" s="621"/>
    </row>
    <row r="26" spans="1:7" ht="14.25" customHeight="1">
      <c r="A26" s="196" t="s">
        <v>1197</v>
      </c>
      <c r="B26" s="594"/>
      <c r="C26" s="627"/>
      <c r="D26" s="632"/>
      <c r="E26" s="621"/>
      <c r="F26" s="628"/>
      <c r="G26" s="621"/>
    </row>
    <row r="27" spans="1:7" ht="14.25" customHeight="1">
      <c r="A27" s="196" t="s">
        <v>1198</v>
      </c>
      <c r="B27" s="594"/>
      <c r="C27" s="627"/>
      <c r="D27" s="632"/>
      <c r="E27" s="621"/>
      <c r="F27" s="628"/>
      <c r="G27" s="621"/>
    </row>
    <row r="28" spans="1:7" ht="14.25" customHeight="1">
      <c r="A28" s="196" t="s">
        <v>1199</v>
      </c>
      <c r="B28" s="594"/>
      <c r="C28" s="627"/>
      <c r="D28" s="632"/>
      <c r="E28" s="621"/>
      <c r="F28" s="628"/>
      <c r="G28" s="621"/>
    </row>
    <row r="29" spans="1:7" ht="14.25" customHeight="1">
      <c r="A29" s="196" t="s">
        <v>1200</v>
      </c>
      <c r="B29" s="594"/>
      <c r="C29" s="627"/>
      <c r="D29" s="632"/>
      <c r="E29" s="621"/>
      <c r="F29" s="628"/>
      <c r="G29" s="621"/>
    </row>
    <row r="30" spans="1:7" ht="14.25" customHeight="1">
      <c r="A30" s="197" t="s">
        <v>1201</v>
      </c>
      <c r="B30" s="629">
        <f t="shared" ref="B30:G30" si="1">ROUND(SUM(B18,B27,B28,B29),2)</f>
        <v>0</v>
      </c>
      <c r="C30" s="629">
        <f t="shared" si="1"/>
        <v>0</v>
      </c>
      <c r="D30" s="629">
        <f t="shared" si="1"/>
        <v>0</v>
      </c>
      <c r="E30" s="622">
        <f t="shared" si="1"/>
        <v>0</v>
      </c>
      <c r="F30" s="622">
        <f t="shared" si="1"/>
        <v>0</v>
      </c>
      <c r="G30" s="622">
        <f t="shared" si="1"/>
        <v>0</v>
      </c>
    </row>
    <row r="31" spans="1:7" ht="14.25" customHeight="1">
      <c r="A31" s="199"/>
      <c r="B31" s="633"/>
      <c r="C31" s="633"/>
      <c r="D31" s="633"/>
      <c r="E31" s="622"/>
      <c r="F31" s="622"/>
      <c r="G31" s="622"/>
    </row>
    <row r="32" spans="1:7" ht="14.25" customHeight="1">
      <c r="A32" s="195" t="s">
        <v>1202</v>
      </c>
      <c r="B32" s="591">
        <v>0</v>
      </c>
      <c r="C32" s="634">
        <v>0</v>
      </c>
      <c r="D32" s="629">
        <v>0</v>
      </c>
      <c r="E32" s="635">
        <v>0</v>
      </c>
      <c r="F32" s="635">
        <v>0</v>
      </c>
      <c r="G32" s="622">
        <v>0</v>
      </c>
    </row>
    <row r="33" spans="1:7" ht="14.25" customHeight="1">
      <c r="A33" s="199"/>
      <c r="B33" s="636"/>
      <c r="C33" s="630"/>
      <c r="D33" s="633"/>
      <c r="E33" s="635"/>
      <c r="F33" s="635"/>
      <c r="G33" s="622"/>
    </row>
    <row r="34" spans="1:7" ht="14.25" customHeight="1">
      <c r="A34" s="195" t="s">
        <v>1203</v>
      </c>
      <c r="B34" s="634">
        <f t="shared" ref="B34:G34" si="2">ROUND(B16-B30+B32,2)</f>
        <v>0</v>
      </c>
      <c r="C34" s="634">
        <f t="shared" si="2"/>
        <v>0</v>
      </c>
      <c r="D34" s="634">
        <f t="shared" si="2"/>
        <v>0</v>
      </c>
      <c r="E34" s="635">
        <f t="shared" si="2"/>
        <v>0</v>
      </c>
      <c r="F34" s="635">
        <f t="shared" si="2"/>
        <v>0</v>
      </c>
      <c r="G34" s="635">
        <f t="shared" si="2"/>
        <v>0</v>
      </c>
    </row>
    <row r="35" spans="1:7" s="477" customFormat="1" ht="14.25" customHeight="1">
      <c r="A35" s="475"/>
      <c r="B35" s="476"/>
      <c r="C35" s="476"/>
      <c r="D35" s="476"/>
      <c r="E35" s="476"/>
      <c r="F35" s="476"/>
      <c r="G35" s="476"/>
    </row>
    <row r="36" spans="1:7" s="477" customFormat="1" ht="14.25" customHeight="1">
      <c r="A36" s="465" t="s">
        <v>1204</v>
      </c>
      <c r="B36" s="469"/>
      <c r="C36" s="469"/>
      <c r="D36" s="478"/>
      <c r="E36" s="478"/>
      <c r="F36" s="478"/>
      <c r="G36" s="478"/>
    </row>
    <row r="37" spans="1:7" s="477" customFormat="1" ht="14.25" customHeight="1">
      <c r="A37" s="479"/>
      <c r="B37" s="469"/>
      <c r="C37" s="469"/>
      <c r="D37" s="478"/>
      <c r="E37" s="478"/>
      <c r="F37" s="478"/>
      <c r="G37" s="478"/>
    </row>
    <row r="38" spans="1:7" s="477" customFormat="1" ht="14.25" customHeight="1">
      <c r="A38" s="550" t="s">
        <v>1205</v>
      </c>
      <c r="B38" s="548" t="s">
        <v>1206</v>
      </c>
      <c r="C38" s="548"/>
      <c r="D38" s="551"/>
      <c r="E38" s="551" t="s">
        <v>1207</v>
      </c>
      <c r="F38" s="480"/>
      <c r="G38" s="481"/>
    </row>
    <row r="39" spans="1:7" s="477" customFormat="1" ht="14.25" customHeight="1"/>
    <row r="40" spans="1:7" s="477" customFormat="1" ht="14.25" customHeight="1"/>
    <row r="41" spans="1:7" s="477" customFormat="1" ht="14.25" customHeight="1"/>
    <row r="42" spans="1:7" s="477" customFormat="1" ht="14.25" customHeight="1"/>
    <row r="43" spans="1:7" s="477" customFormat="1" ht="14.25" customHeight="1"/>
    <row r="44" spans="1:7" s="477" customFormat="1" ht="14.25" customHeight="1"/>
    <row r="45" spans="1:7" s="477" customFormat="1" ht="14.25" customHeight="1"/>
    <row r="46" spans="1:7" s="477" customFormat="1" ht="14.25" customHeight="1"/>
    <row r="47" spans="1:7" s="477" customFormat="1" ht="14.25" customHeight="1"/>
    <row r="48" spans="1:7" s="477" customFormat="1" ht="14.25" customHeight="1"/>
  </sheetData>
  <sheetProtection selectLockedCells="1"/>
  <mergeCells count="5">
    <mergeCell ref="A2:G2"/>
    <mergeCell ref="A3:G3"/>
    <mergeCell ref="A6:A7"/>
    <mergeCell ref="B6:D6"/>
    <mergeCell ref="E6:G6"/>
  </mergeCells>
  <phoneticPr fontId="1"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B48"/>
  <sheetViews>
    <sheetView workbookViewId="0">
      <selection activeCell="B42" sqref="B42"/>
    </sheetView>
  </sheetViews>
  <sheetFormatPr defaultColWidth="9" defaultRowHeight="13"/>
  <cols>
    <col min="1" max="1" width="38" style="178" customWidth="1"/>
    <col min="2" max="2" width="25.6328125" style="178" customWidth="1"/>
    <col min="3" max="16384" width="9" style="178"/>
  </cols>
  <sheetData>
    <row r="1" spans="1:2" ht="15">
      <c r="A1" s="201"/>
      <c r="B1" s="190" t="s">
        <v>1208</v>
      </c>
    </row>
    <row r="2" spans="1:2" s="349" customFormat="1" ht="29.15" customHeight="1">
      <c r="A2" s="717" t="s">
        <v>1209</v>
      </c>
      <c r="B2" s="717"/>
    </row>
    <row r="3" spans="1:2" s="354" customFormat="1" ht="14.25" customHeight="1">
      <c r="A3" s="718" t="str">
        <f>'11业务情况'!B3&amp;"年度"</f>
        <v>2018年度</v>
      </c>
      <c r="B3" s="718"/>
    </row>
    <row r="4" spans="1:2" s="354" customFormat="1" ht="14.25" customHeight="1">
      <c r="A4" s="355"/>
      <c r="B4" s="356"/>
    </row>
    <row r="5" spans="1:2" s="354" customFormat="1" ht="14.25" customHeight="1">
      <c r="A5" s="558" t="str">
        <f>'11资产负债表'!A4</f>
        <v>编制单位：</v>
      </c>
      <c r="B5" s="357" t="s">
        <v>1210</v>
      </c>
    </row>
    <row r="6" spans="1:2" s="354" customFormat="1" ht="14.25" customHeight="1">
      <c r="A6" s="358" t="s">
        <v>1211</v>
      </c>
      <c r="B6" s="359" t="s">
        <v>1212</v>
      </c>
    </row>
    <row r="7" spans="1:2" s="354" customFormat="1" ht="14.25" customHeight="1">
      <c r="A7" s="360" t="s">
        <v>1213</v>
      </c>
      <c r="B7" s="521"/>
    </row>
    <row r="8" spans="1:2" s="354" customFormat="1" ht="14.25" customHeight="1">
      <c r="A8" s="361" t="s">
        <v>1214</v>
      </c>
      <c r="B8" s="521"/>
    </row>
    <row r="9" spans="1:2" s="354" customFormat="1" ht="14.25" customHeight="1">
      <c r="A9" s="361" t="s">
        <v>1215</v>
      </c>
      <c r="B9" s="521"/>
    </row>
    <row r="10" spans="1:2" s="354" customFormat="1" ht="14.25" customHeight="1">
      <c r="A10" s="361" t="s">
        <v>1216</v>
      </c>
      <c r="B10" s="521"/>
    </row>
    <row r="11" spans="1:2" s="354" customFormat="1" ht="14.25" customHeight="1">
      <c r="A11" s="361" t="s">
        <v>1217</v>
      </c>
      <c r="B11" s="521"/>
    </row>
    <row r="12" spans="1:2" s="354" customFormat="1" ht="14.25" customHeight="1">
      <c r="A12" s="361" t="s">
        <v>1218</v>
      </c>
      <c r="B12" s="521"/>
    </row>
    <row r="13" spans="1:2" s="354" customFormat="1" ht="14.25" customHeight="1">
      <c r="A13" s="361" t="s">
        <v>1219</v>
      </c>
      <c r="B13" s="521"/>
    </row>
    <row r="14" spans="1:2" s="354" customFormat="1" ht="14.25" customHeight="1">
      <c r="A14" s="358" t="s">
        <v>1220</v>
      </c>
      <c r="B14" s="522">
        <f>ROUND(SUM(B8:B13),2)</f>
        <v>0</v>
      </c>
    </row>
    <row r="15" spans="1:2" s="354" customFormat="1" ht="14.25" customHeight="1">
      <c r="A15" s="361" t="s">
        <v>1221</v>
      </c>
      <c r="B15" s="521"/>
    </row>
    <row r="16" spans="1:2" s="354" customFormat="1" ht="14.25" customHeight="1">
      <c r="A16" s="361" t="s">
        <v>1222</v>
      </c>
      <c r="B16" s="521"/>
    </row>
    <row r="17" spans="1:2" s="354" customFormat="1" ht="14.25" customHeight="1">
      <c r="A17" s="361" t="s">
        <v>1223</v>
      </c>
      <c r="B17" s="521"/>
    </row>
    <row r="18" spans="1:2" s="354" customFormat="1" ht="14.25" customHeight="1">
      <c r="A18" s="361" t="s">
        <v>1224</v>
      </c>
      <c r="B18" s="521"/>
    </row>
    <row r="19" spans="1:2" s="354" customFormat="1" ht="14.25" customHeight="1">
      <c r="A19" s="358" t="s">
        <v>1225</v>
      </c>
      <c r="B19" s="522">
        <f>ROUND(SUM(B15:B18),2)</f>
        <v>0</v>
      </c>
    </row>
    <row r="20" spans="1:2" s="354" customFormat="1" ht="14.25" customHeight="1">
      <c r="A20" s="358" t="s">
        <v>1226</v>
      </c>
      <c r="B20" s="522">
        <f>ROUND(B14-B19,2)</f>
        <v>0</v>
      </c>
    </row>
    <row r="21" spans="1:2" s="354" customFormat="1" ht="14.25" customHeight="1">
      <c r="A21" s="360" t="s">
        <v>1227</v>
      </c>
      <c r="B21" s="521"/>
    </row>
    <row r="22" spans="1:2" s="354" customFormat="1" ht="14.25" customHeight="1">
      <c r="A22" s="361" t="s">
        <v>1228</v>
      </c>
      <c r="B22" s="521"/>
    </row>
    <row r="23" spans="1:2" s="354" customFormat="1" ht="14.25" customHeight="1">
      <c r="A23" s="361" t="s">
        <v>1229</v>
      </c>
      <c r="B23" s="521"/>
    </row>
    <row r="24" spans="1:2" s="354" customFormat="1" ht="14.25" customHeight="1">
      <c r="A24" s="361" t="s">
        <v>1230</v>
      </c>
      <c r="B24" s="521"/>
    </row>
    <row r="25" spans="1:2" s="354" customFormat="1" ht="14.25" customHeight="1">
      <c r="A25" s="361" t="s">
        <v>1231</v>
      </c>
      <c r="B25" s="521"/>
    </row>
    <row r="26" spans="1:2" s="354" customFormat="1" ht="14.25" customHeight="1">
      <c r="A26" s="358" t="s">
        <v>1220</v>
      </c>
      <c r="B26" s="522">
        <f>ROUND(SUM(B22:B25),2)</f>
        <v>0</v>
      </c>
    </row>
    <row r="27" spans="1:2" s="354" customFormat="1" ht="14.25" customHeight="1">
      <c r="A27" s="361" t="s">
        <v>1232</v>
      </c>
      <c r="B27" s="521"/>
    </row>
    <row r="28" spans="1:2" s="354" customFormat="1" ht="14.25" customHeight="1">
      <c r="A28" s="361" t="s">
        <v>1233</v>
      </c>
      <c r="B28" s="521"/>
    </row>
    <row r="29" spans="1:2" s="354" customFormat="1" ht="14.25" customHeight="1">
      <c r="A29" s="361" t="s">
        <v>1234</v>
      </c>
      <c r="B29" s="521"/>
    </row>
    <row r="30" spans="1:2" s="354" customFormat="1" ht="14.25" customHeight="1">
      <c r="A30" s="358" t="s">
        <v>1235</v>
      </c>
      <c r="B30" s="522">
        <f>ROUND(SUM(B27:B29),2)</f>
        <v>0</v>
      </c>
    </row>
    <row r="31" spans="1:2" s="354" customFormat="1" ht="14.25" customHeight="1">
      <c r="A31" s="358" t="s">
        <v>1236</v>
      </c>
      <c r="B31" s="522">
        <f>ROUND(B26-B30,2)</f>
        <v>0</v>
      </c>
    </row>
    <row r="32" spans="1:2" s="354" customFormat="1" ht="14.25" customHeight="1">
      <c r="A32" s="361" t="s">
        <v>1237</v>
      </c>
      <c r="B32" s="521"/>
    </row>
    <row r="33" spans="1:2" s="354" customFormat="1" ht="14.25" customHeight="1">
      <c r="A33" s="361" t="s">
        <v>1238</v>
      </c>
      <c r="B33" s="521"/>
    </row>
    <row r="34" spans="1:2" s="354" customFormat="1" ht="14.25" customHeight="1">
      <c r="A34" s="361" t="s">
        <v>1239</v>
      </c>
      <c r="B34" s="521"/>
    </row>
    <row r="35" spans="1:2" s="354" customFormat="1" ht="14.25" customHeight="1">
      <c r="A35" s="358" t="s">
        <v>1220</v>
      </c>
      <c r="B35" s="522">
        <f>ROUND(SUM(B33:B34),2)</f>
        <v>0</v>
      </c>
    </row>
    <row r="36" spans="1:2" s="354" customFormat="1" ht="14.25" customHeight="1">
      <c r="A36" s="361" t="s">
        <v>1240</v>
      </c>
      <c r="B36" s="521"/>
    </row>
    <row r="37" spans="1:2" s="354" customFormat="1" ht="14.25" customHeight="1">
      <c r="A37" s="361" t="s">
        <v>1241</v>
      </c>
      <c r="B37" s="521"/>
    </row>
    <row r="38" spans="1:2" s="354" customFormat="1" ht="14.25" customHeight="1">
      <c r="A38" s="361" t="s">
        <v>1242</v>
      </c>
      <c r="B38" s="521"/>
    </row>
    <row r="39" spans="1:2" s="354" customFormat="1" ht="14.25" customHeight="1">
      <c r="A39" s="358" t="s">
        <v>1235</v>
      </c>
      <c r="B39" s="522">
        <f>ROUND(SUM(B36:B38),2)</f>
        <v>0</v>
      </c>
    </row>
    <row r="40" spans="1:2" s="354" customFormat="1" ht="14.25" customHeight="1">
      <c r="A40" s="358" t="s">
        <v>1243</v>
      </c>
      <c r="B40" s="522">
        <f>ROUND(B35-B39,2)</f>
        <v>0</v>
      </c>
    </row>
    <row r="41" spans="1:2" s="354" customFormat="1" ht="14.25" customHeight="1">
      <c r="A41" s="360" t="s">
        <v>1244</v>
      </c>
      <c r="B41" s="522">
        <v>0</v>
      </c>
    </row>
    <row r="42" spans="1:2" s="354" customFormat="1" ht="14.25" customHeight="1">
      <c r="A42" s="360" t="s">
        <v>1245</v>
      </c>
      <c r="B42" s="522">
        <v>0</v>
      </c>
    </row>
    <row r="43" spans="1:2" s="354" customFormat="1" ht="14.25" customHeight="1">
      <c r="A43" s="362"/>
      <c r="B43" s="363"/>
    </row>
    <row r="44" spans="1:2" s="354" customFormat="1" ht="14.25" customHeight="1">
      <c r="A44" s="364" t="s">
        <v>1167</v>
      </c>
      <c r="B44" s="365"/>
    </row>
    <row r="45" spans="1:2" s="354" customFormat="1" ht="14.25" customHeight="1">
      <c r="A45" s="366"/>
      <c r="B45" s="365"/>
    </row>
    <row r="46" spans="1:2" s="354" customFormat="1" ht="14.25" customHeight="1">
      <c r="A46" s="552" t="s">
        <v>1246</v>
      </c>
      <c r="B46" s="553"/>
    </row>
    <row r="47" spans="1:2" ht="14.25" customHeight="1"/>
    <row r="48" spans="1:2" ht="14.5" customHeight="1"/>
  </sheetData>
  <sheetProtection selectLockedCells="1"/>
  <mergeCells count="2">
    <mergeCell ref="A2:B2"/>
    <mergeCell ref="A3:B3"/>
  </mergeCells>
  <phoneticPr fontId="1" type="noConversion"/>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D7"/>
  <sheetViews>
    <sheetView workbookViewId="0">
      <selection activeCell="B2" sqref="B2"/>
    </sheetView>
  </sheetViews>
  <sheetFormatPr defaultColWidth="9" defaultRowHeight="14.25" customHeight="1"/>
  <cols>
    <col min="1" max="1" width="23.6328125" style="106" customWidth="1"/>
    <col min="2" max="2" width="25.6328125" style="106" customWidth="1"/>
    <col min="3" max="3" width="25" style="106" customWidth="1"/>
    <col min="4" max="4" width="25.6328125" style="106" customWidth="1"/>
    <col min="5" max="16384" width="9" style="106"/>
  </cols>
  <sheetData>
    <row r="1" spans="1:4" ht="14.25" customHeight="1">
      <c r="A1" s="657" t="s">
        <v>1678</v>
      </c>
      <c r="B1" s="657"/>
      <c r="C1" s="657"/>
      <c r="D1" s="658"/>
    </row>
    <row r="2" spans="1:4" ht="14.25" customHeight="1">
      <c r="A2" s="429" t="s">
        <v>1918</v>
      </c>
      <c r="B2" s="500" t="s">
        <v>2159</v>
      </c>
      <c r="C2" s="381" t="s">
        <v>1915</v>
      </c>
      <c r="D2" s="523" t="s">
        <v>2008</v>
      </c>
    </row>
    <row r="3" spans="1:4" ht="14.25" customHeight="1">
      <c r="A3" s="429" t="s">
        <v>1919</v>
      </c>
      <c r="B3" s="500" t="s">
        <v>1682</v>
      </c>
      <c r="C3" s="382" t="s">
        <v>1920</v>
      </c>
      <c r="D3" s="523" t="s">
        <v>1682</v>
      </c>
    </row>
    <row r="4" spans="1:4" ht="14.25" customHeight="1">
      <c r="A4" s="382" t="s">
        <v>1921</v>
      </c>
      <c r="B4" s="523" t="s">
        <v>1682</v>
      </c>
      <c r="C4" s="382" t="s">
        <v>1922</v>
      </c>
      <c r="D4" s="523" t="s">
        <v>1682</v>
      </c>
    </row>
    <row r="5" spans="1:4" ht="14.25" customHeight="1">
      <c r="A5" s="382" t="s">
        <v>1912</v>
      </c>
      <c r="B5" s="523"/>
      <c r="C5" s="382" t="s">
        <v>1917</v>
      </c>
      <c r="D5" s="523"/>
    </row>
    <row r="6" spans="1:4" ht="14.25" customHeight="1">
      <c r="A6" s="382" t="s">
        <v>1913</v>
      </c>
      <c r="B6" s="523"/>
      <c r="C6" s="386" t="s">
        <v>1738</v>
      </c>
      <c r="D6" s="523" t="s">
        <v>1682</v>
      </c>
    </row>
    <row r="7" spans="1:4" ht="14.25" customHeight="1">
      <c r="A7" s="381" t="s">
        <v>1731</v>
      </c>
      <c r="B7" s="523"/>
      <c r="C7" s="381" t="s">
        <v>1739</v>
      </c>
      <c r="D7" s="523"/>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pageSetup paperSize="9" orientation="portrait" horizontalDpi="180" verticalDpi="18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H28"/>
  <sheetViews>
    <sheetView workbookViewId="0">
      <selection activeCell="G25" sqref="G25"/>
    </sheetView>
  </sheetViews>
  <sheetFormatPr defaultColWidth="9" defaultRowHeight="14.5" customHeight="1"/>
  <cols>
    <col min="1" max="1" width="9.26953125" style="202" bestFit="1" customWidth="1"/>
    <col min="2" max="2" width="16" style="202" customWidth="1"/>
    <col min="3" max="4" width="20.6328125" style="202" customWidth="1"/>
    <col min="5" max="5" width="6.26953125" style="202" bestFit="1" customWidth="1"/>
    <col min="6" max="6" width="21.453125" style="202" customWidth="1"/>
    <col min="7" max="8" width="20.6328125" style="202" customWidth="1"/>
    <col min="9" max="16384" width="9" style="202"/>
  </cols>
  <sheetData>
    <row r="1" spans="1:8" ht="29.15" customHeight="1">
      <c r="A1" s="680" t="s">
        <v>1820</v>
      </c>
      <c r="B1" s="680"/>
      <c r="C1" s="680"/>
      <c r="D1" s="680"/>
      <c r="E1" s="680"/>
      <c r="F1" s="680"/>
      <c r="G1" s="680"/>
      <c r="H1" s="680"/>
    </row>
    <row r="2" spans="1:8" ht="14.25" customHeight="1">
      <c r="A2" s="108"/>
      <c r="B2" s="108"/>
      <c r="C2" s="108"/>
      <c r="D2" s="108"/>
      <c r="E2" s="108"/>
      <c r="F2" s="108"/>
      <c r="G2" s="108"/>
      <c r="H2" s="109" t="s">
        <v>1247</v>
      </c>
    </row>
    <row r="3" spans="1:8" ht="14.25" customHeight="1">
      <c r="A3" s="538" t="s">
        <v>1099</v>
      </c>
      <c r="B3" s="682" t="s">
        <v>1037</v>
      </c>
      <c r="C3" s="719"/>
      <c r="D3" s="719"/>
      <c r="E3" s="719"/>
      <c r="F3" s="719"/>
      <c r="G3" s="719"/>
      <c r="H3" s="109" t="s">
        <v>1038</v>
      </c>
    </row>
    <row r="4" spans="1:8" ht="14.25" customHeight="1">
      <c r="A4" s="203"/>
      <c r="B4" s="91" t="s">
        <v>1248</v>
      </c>
      <c r="C4" s="91" t="s">
        <v>1249</v>
      </c>
      <c r="D4" s="173" t="s">
        <v>1250</v>
      </c>
      <c r="E4" s="204"/>
      <c r="F4" s="203" t="s">
        <v>1251</v>
      </c>
      <c r="G4" s="91" t="s">
        <v>1249</v>
      </c>
      <c r="H4" s="91" t="s">
        <v>1250</v>
      </c>
    </row>
    <row r="5" spans="1:8" ht="14.25" customHeight="1">
      <c r="A5" s="203"/>
      <c r="B5" s="91" t="s">
        <v>1252</v>
      </c>
      <c r="C5" s="573"/>
      <c r="D5" s="581"/>
      <c r="E5" s="204"/>
      <c r="F5" s="203" t="s">
        <v>1253</v>
      </c>
      <c r="G5" s="573"/>
      <c r="H5" s="573"/>
    </row>
    <row r="6" spans="1:8" ht="14.25" customHeight="1">
      <c r="A6" s="203">
        <v>101</v>
      </c>
      <c r="B6" s="205" t="s">
        <v>1254</v>
      </c>
      <c r="C6" s="573"/>
      <c r="D6" s="581"/>
      <c r="E6" s="204">
        <v>201</v>
      </c>
      <c r="F6" s="206" t="s">
        <v>1255</v>
      </c>
      <c r="G6" s="573"/>
      <c r="H6" s="573"/>
    </row>
    <row r="7" spans="1:8" ht="14.25" customHeight="1">
      <c r="A7" s="203">
        <v>102</v>
      </c>
      <c r="B7" s="205" t="s">
        <v>1256</v>
      </c>
      <c r="C7" s="573"/>
      <c r="D7" s="581"/>
      <c r="E7" s="204">
        <v>202</v>
      </c>
      <c r="F7" s="206" t="s">
        <v>1257</v>
      </c>
      <c r="G7" s="573"/>
      <c r="H7" s="573"/>
    </row>
    <row r="8" spans="1:8" ht="14.25" customHeight="1">
      <c r="A8" s="203">
        <v>111</v>
      </c>
      <c r="B8" s="205" t="s">
        <v>1258</v>
      </c>
      <c r="C8" s="573"/>
      <c r="D8" s="581"/>
      <c r="E8" s="204">
        <v>203</v>
      </c>
      <c r="F8" s="206" t="s">
        <v>1819</v>
      </c>
      <c r="G8" s="573"/>
      <c r="H8" s="573"/>
    </row>
    <row r="9" spans="1:8" ht="14.25" customHeight="1">
      <c r="A9" s="203">
        <v>112</v>
      </c>
      <c r="B9" s="205" t="s">
        <v>1259</v>
      </c>
      <c r="C9" s="573"/>
      <c r="D9" s="581"/>
      <c r="E9" s="204">
        <v>211</v>
      </c>
      <c r="F9" s="206" t="s">
        <v>1260</v>
      </c>
      <c r="G9" s="573"/>
      <c r="H9" s="573"/>
    </row>
    <row r="10" spans="1:8" ht="14.25" customHeight="1">
      <c r="A10" s="203">
        <v>121</v>
      </c>
      <c r="B10" s="205" t="s">
        <v>1261</v>
      </c>
      <c r="C10" s="573"/>
      <c r="D10" s="581"/>
      <c r="E10" s="204">
        <v>221</v>
      </c>
      <c r="F10" s="206" t="s">
        <v>1262</v>
      </c>
      <c r="G10" s="573"/>
      <c r="H10" s="573"/>
    </row>
    <row r="11" spans="1:8" ht="14.25" customHeight="1">
      <c r="A11" s="203">
        <v>131</v>
      </c>
      <c r="B11" s="205" t="s">
        <v>1263</v>
      </c>
      <c r="C11" s="573"/>
      <c r="D11" s="581"/>
      <c r="E11" s="204">
        <v>222</v>
      </c>
      <c r="F11" s="206" t="s">
        <v>1264</v>
      </c>
      <c r="G11" s="573"/>
      <c r="H11" s="573"/>
    </row>
    <row r="12" spans="1:8" ht="14.25" customHeight="1">
      <c r="A12" s="203">
        <v>132</v>
      </c>
      <c r="B12" s="205" t="s">
        <v>1265</v>
      </c>
      <c r="C12" s="573"/>
      <c r="D12" s="581"/>
      <c r="E12" s="204">
        <v>225</v>
      </c>
      <c r="F12" s="206" t="s">
        <v>1266</v>
      </c>
      <c r="G12" s="573"/>
      <c r="H12" s="573"/>
    </row>
    <row r="13" spans="1:8" ht="14.25" customHeight="1">
      <c r="A13" s="203">
        <v>135</v>
      </c>
      <c r="B13" s="205" t="s">
        <v>1267</v>
      </c>
      <c r="C13" s="573"/>
      <c r="D13" s="581"/>
      <c r="E13" s="204">
        <v>231</v>
      </c>
      <c r="F13" s="206" t="s">
        <v>1268</v>
      </c>
      <c r="G13" s="573"/>
      <c r="H13" s="573"/>
    </row>
    <row r="14" spans="1:8" ht="14.25" customHeight="1">
      <c r="A14" s="203">
        <v>141</v>
      </c>
      <c r="B14" s="205" t="s">
        <v>1269</v>
      </c>
      <c r="C14" s="573"/>
      <c r="D14" s="581"/>
      <c r="E14" s="204"/>
      <c r="F14" s="203" t="s">
        <v>1080</v>
      </c>
      <c r="G14" s="573">
        <f>SUM(G6:G13)</f>
        <v>0</v>
      </c>
      <c r="H14" s="645">
        <f>SUM(H6:H13)</f>
        <v>0</v>
      </c>
    </row>
    <row r="15" spans="1:8" ht="14.25" customHeight="1">
      <c r="A15" s="203">
        <v>151</v>
      </c>
      <c r="B15" s="205" t="s">
        <v>1270</v>
      </c>
      <c r="C15" s="573"/>
      <c r="D15" s="581"/>
      <c r="E15" s="204"/>
      <c r="F15" s="206"/>
      <c r="G15" s="573"/>
      <c r="H15" s="573"/>
    </row>
    <row r="16" spans="1:8" ht="14.25" customHeight="1">
      <c r="A16" s="203">
        <v>161</v>
      </c>
      <c r="B16" s="205" t="s">
        <v>1271</v>
      </c>
      <c r="C16" s="573"/>
      <c r="D16" s="581"/>
      <c r="E16" s="204"/>
      <c r="F16" s="203" t="s">
        <v>1272</v>
      </c>
      <c r="G16" s="573"/>
      <c r="H16" s="573"/>
    </row>
    <row r="17" spans="1:8" ht="14.25" customHeight="1">
      <c r="A17" s="203">
        <v>162</v>
      </c>
      <c r="B17" s="205" t="s">
        <v>1273</v>
      </c>
      <c r="C17" s="573"/>
      <c r="D17" s="581"/>
      <c r="E17" s="204">
        <v>301</v>
      </c>
      <c r="F17" s="206" t="s">
        <v>1274</v>
      </c>
      <c r="G17" s="573"/>
      <c r="H17" s="573"/>
    </row>
    <row r="18" spans="1:8" ht="14.25" customHeight="1">
      <c r="A18" s="203"/>
      <c r="B18" s="205"/>
      <c r="C18" s="573"/>
      <c r="D18" s="581"/>
      <c r="E18" s="204">
        <v>302</v>
      </c>
      <c r="F18" s="206" t="s">
        <v>1275</v>
      </c>
      <c r="G18" s="573"/>
      <c r="H18" s="573"/>
    </row>
    <row r="19" spans="1:8" ht="14.25" customHeight="1">
      <c r="A19" s="203"/>
      <c r="B19" s="205"/>
      <c r="C19" s="573"/>
      <c r="D19" s="581"/>
      <c r="E19" s="204">
        <v>311</v>
      </c>
      <c r="F19" s="206" t="s">
        <v>1276</v>
      </c>
      <c r="G19" s="573"/>
      <c r="H19" s="573"/>
    </row>
    <row r="20" spans="1:8" ht="14.25" customHeight="1">
      <c r="A20" s="203"/>
      <c r="B20" s="205"/>
      <c r="C20" s="573"/>
      <c r="D20" s="581"/>
      <c r="E20" s="204">
        <v>321</v>
      </c>
      <c r="F20" s="206" t="s">
        <v>1277</v>
      </c>
      <c r="G20" s="573"/>
      <c r="H20" s="573"/>
    </row>
    <row r="21" spans="1:8" ht="14.25" customHeight="1">
      <c r="A21" s="203"/>
      <c r="B21" s="205"/>
      <c r="C21" s="573"/>
      <c r="D21" s="581"/>
      <c r="E21" s="204">
        <v>322</v>
      </c>
      <c r="F21" s="206" t="s">
        <v>1278</v>
      </c>
      <c r="G21" s="573"/>
      <c r="H21" s="573"/>
    </row>
    <row r="22" spans="1:8" ht="14.25" customHeight="1">
      <c r="A22" s="91"/>
      <c r="B22" s="205"/>
      <c r="C22" s="573"/>
      <c r="D22" s="581"/>
      <c r="E22" s="207">
        <v>331</v>
      </c>
      <c r="F22" s="208" t="s">
        <v>1279</v>
      </c>
      <c r="G22" s="573"/>
      <c r="H22" s="573"/>
    </row>
    <row r="23" spans="1:8" ht="14.25" customHeight="1">
      <c r="A23" s="205"/>
      <c r="B23" s="205"/>
      <c r="C23" s="573"/>
      <c r="D23" s="581"/>
      <c r="E23" s="204"/>
      <c r="F23" s="209" t="s">
        <v>1280</v>
      </c>
      <c r="G23" s="573">
        <f>SUM(G17:G22)</f>
        <v>0</v>
      </c>
      <c r="H23" s="645">
        <f>SUM(H17:H22)</f>
        <v>0</v>
      </c>
    </row>
    <row r="24" spans="1:8" ht="14.25" customHeight="1">
      <c r="A24" s="205"/>
      <c r="B24" s="205"/>
      <c r="C24" s="573"/>
      <c r="D24" s="581"/>
      <c r="E24" s="204"/>
      <c r="F24" s="205"/>
      <c r="G24" s="573"/>
      <c r="H24" s="573"/>
    </row>
    <row r="25" spans="1:8" ht="14.25" customHeight="1">
      <c r="A25" s="205"/>
      <c r="B25" s="209" t="s">
        <v>1096</v>
      </c>
      <c r="C25" s="573">
        <f>SUM(C6:C17)</f>
        <v>0</v>
      </c>
      <c r="D25" s="645">
        <f>SUM(D6:D17)</f>
        <v>0</v>
      </c>
      <c r="E25" s="204"/>
      <c r="F25" s="209" t="s">
        <v>1281</v>
      </c>
      <c r="G25" s="573">
        <f>G14+G23</f>
        <v>0</v>
      </c>
      <c r="H25" s="645">
        <f>H14+H23</f>
        <v>0</v>
      </c>
    </row>
    <row r="26" spans="1:8" ht="14.25" customHeight="1">
      <c r="A26" s="538" t="s">
        <v>1282</v>
      </c>
      <c r="B26" s="538"/>
      <c r="C26" s="538" t="s">
        <v>1283</v>
      </c>
      <c r="D26" s="538"/>
      <c r="E26" s="489"/>
      <c r="F26" s="554" t="s">
        <v>1284</v>
      </c>
      <c r="G26" s="538" t="s">
        <v>1285</v>
      </c>
      <c r="H26" s="108"/>
    </row>
    <row r="27" spans="1:8" ht="14.5" customHeight="1">
      <c r="A27" s="108"/>
      <c r="B27" s="108"/>
      <c r="C27" s="108"/>
      <c r="D27" s="108"/>
      <c r="E27" s="108"/>
      <c r="F27" s="108"/>
      <c r="G27" s="108"/>
      <c r="H27" s="108"/>
    </row>
    <row r="28" spans="1:8" ht="14.5" customHeight="1">
      <c r="A28" s="108"/>
      <c r="B28" s="108"/>
      <c r="C28" s="108"/>
      <c r="D28" s="108"/>
      <c r="E28" s="108"/>
      <c r="F28" s="108"/>
      <c r="G28" s="108"/>
      <c r="H28" s="108"/>
    </row>
  </sheetData>
  <sheetProtection selectLockedCells="1"/>
  <mergeCells count="2">
    <mergeCell ref="A1:H1"/>
    <mergeCell ref="B3:G3"/>
  </mergeCells>
  <phoneticPr fontId="1" type="noConversion"/>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G66"/>
  <sheetViews>
    <sheetView topLeftCell="A61" workbookViewId="0">
      <selection activeCell="C65" sqref="C65:D65"/>
    </sheetView>
  </sheetViews>
  <sheetFormatPr defaultColWidth="9" defaultRowHeight="13"/>
  <cols>
    <col min="1" max="1" width="8" style="215" bestFit="1" customWidth="1"/>
    <col min="2" max="2" width="20.26953125" style="211" customWidth="1"/>
    <col min="3" max="4" width="15.6328125" style="211" customWidth="1"/>
    <col min="5" max="7" width="10.6328125" style="211" customWidth="1"/>
    <col min="8" max="16384" width="9" style="211"/>
  </cols>
  <sheetData>
    <row r="1" spans="1:7" ht="29.15" customHeight="1">
      <c r="A1" s="683" t="s">
        <v>1674</v>
      </c>
      <c r="B1" s="683"/>
      <c r="C1" s="683"/>
      <c r="D1" s="683"/>
      <c r="E1" s="683"/>
      <c r="F1" s="683"/>
      <c r="G1" s="683"/>
    </row>
    <row r="2" spans="1:7" ht="14.25" customHeight="1">
      <c r="A2" s="109"/>
      <c r="B2" s="108"/>
      <c r="C2" s="108"/>
      <c r="D2" s="108"/>
      <c r="E2" s="108"/>
      <c r="F2" s="108"/>
      <c r="G2" s="109" t="s">
        <v>1286</v>
      </c>
    </row>
    <row r="3" spans="1:7" ht="14.25" customHeight="1">
      <c r="A3" s="723" t="s">
        <v>1099</v>
      </c>
      <c r="B3" s="723"/>
      <c r="C3" s="704" t="s">
        <v>1287</v>
      </c>
      <c r="D3" s="704"/>
      <c r="E3" s="212"/>
      <c r="F3" s="108"/>
      <c r="G3" s="109" t="s">
        <v>1038</v>
      </c>
    </row>
    <row r="4" spans="1:7" ht="14.25" customHeight="1">
      <c r="A4" s="724" t="s">
        <v>1101</v>
      </c>
      <c r="B4" s="725"/>
      <c r="C4" s="725" t="s">
        <v>1288</v>
      </c>
      <c r="D4" s="725"/>
      <c r="E4" s="725" t="s">
        <v>1637</v>
      </c>
      <c r="F4" s="725"/>
      <c r="G4" s="725"/>
    </row>
    <row r="5" spans="1:7" ht="14.25" customHeight="1">
      <c r="A5" s="720" t="s">
        <v>1289</v>
      </c>
      <c r="B5" s="721"/>
      <c r="C5" s="722"/>
      <c r="D5" s="722"/>
      <c r="E5" s="722"/>
      <c r="F5" s="722"/>
      <c r="G5" s="722"/>
    </row>
    <row r="6" spans="1:7" ht="14.25" customHeight="1">
      <c r="A6" s="257">
        <v>401</v>
      </c>
      <c r="B6" s="205" t="s">
        <v>1290</v>
      </c>
      <c r="C6" s="722"/>
      <c r="D6" s="722"/>
      <c r="E6" s="722"/>
      <c r="F6" s="722"/>
      <c r="G6" s="722"/>
    </row>
    <row r="7" spans="1:7" ht="14.25" customHeight="1">
      <c r="A7" s="257">
        <v>402</v>
      </c>
      <c r="B7" s="205" t="s">
        <v>1291</v>
      </c>
      <c r="C7" s="722"/>
      <c r="D7" s="722"/>
      <c r="E7" s="722"/>
      <c r="F7" s="722"/>
      <c r="G7" s="722"/>
    </row>
    <row r="8" spans="1:7" ht="14.25" customHeight="1">
      <c r="A8" s="257">
        <v>403</v>
      </c>
      <c r="B8" s="205" t="s">
        <v>1292</v>
      </c>
      <c r="C8" s="722">
        <f>SUM(C9:C15)</f>
        <v>0</v>
      </c>
      <c r="D8" s="722"/>
      <c r="E8" s="722">
        <f>SUM(E9:E15)</f>
        <v>0</v>
      </c>
      <c r="F8" s="722"/>
      <c r="G8" s="722"/>
    </row>
    <row r="9" spans="1:7" ht="14.25" customHeight="1">
      <c r="A9" s="214">
        <v>40301</v>
      </c>
      <c r="B9" s="205" t="s">
        <v>1293</v>
      </c>
      <c r="C9" s="722"/>
      <c r="D9" s="722"/>
      <c r="E9" s="722"/>
      <c r="F9" s="722"/>
      <c r="G9" s="722"/>
    </row>
    <row r="10" spans="1:7" ht="14.25" customHeight="1">
      <c r="A10" s="214">
        <v>40302</v>
      </c>
      <c r="B10" s="205" t="s">
        <v>1294</v>
      </c>
      <c r="C10" s="722"/>
      <c r="D10" s="722"/>
      <c r="E10" s="722"/>
      <c r="F10" s="722"/>
      <c r="G10" s="722"/>
    </row>
    <row r="11" spans="1:7" ht="14.25" customHeight="1">
      <c r="A11" s="214">
        <v>40303</v>
      </c>
      <c r="B11" s="205" t="s">
        <v>1295</v>
      </c>
      <c r="C11" s="722"/>
      <c r="D11" s="722"/>
      <c r="E11" s="722"/>
      <c r="F11" s="722"/>
      <c r="G11" s="722"/>
    </row>
    <row r="12" spans="1:7" ht="14.25" customHeight="1">
      <c r="A12" s="214">
        <v>40304</v>
      </c>
      <c r="B12" s="205" t="s">
        <v>1296</v>
      </c>
      <c r="C12" s="722"/>
      <c r="D12" s="722"/>
      <c r="E12" s="722"/>
      <c r="F12" s="722"/>
      <c r="G12" s="722"/>
    </row>
    <row r="13" spans="1:7" ht="14.25" customHeight="1">
      <c r="A13" s="214">
        <v>40305</v>
      </c>
      <c r="B13" s="205" t="s">
        <v>1297</v>
      </c>
      <c r="C13" s="722"/>
      <c r="D13" s="722"/>
      <c r="E13" s="722"/>
      <c r="F13" s="722"/>
      <c r="G13" s="722"/>
    </row>
    <row r="14" spans="1:7" ht="14.25" customHeight="1">
      <c r="A14" s="214">
        <v>40306</v>
      </c>
      <c r="B14" s="205" t="s">
        <v>1298</v>
      </c>
      <c r="C14" s="722"/>
      <c r="D14" s="722"/>
      <c r="E14" s="722"/>
      <c r="F14" s="722"/>
      <c r="G14" s="722"/>
    </row>
    <row r="15" spans="1:7" ht="14.25" customHeight="1">
      <c r="A15" s="214">
        <v>40307</v>
      </c>
      <c r="B15" s="205" t="s">
        <v>1299</v>
      </c>
      <c r="C15" s="722"/>
      <c r="D15" s="722"/>
      <c r="E15" s="722"/>
      <c r="F15" s="722"/>
      <c r="G15" s="722"/>
    </row>
    <row r="16" spans="1:7" ht="14.25" customHeight="1">
      <c r="A16" s="257">
        <v>404</v>
      </c>
      <c r="B16" s="205" t="s">
        <v>1300</v>
      </c>
      <c r="C16" s="722"/>
      <c r="D16" s="722"/>
      <c r="E16" s="722"/>
      <c r="F16" s="722"/>
      <c r="G16" s="722"/>
    </row>
    <row r="17" spans="1:7" ht="14.25" customHeight="1">
      <c r="A17" s="257">
        <v>405</v>
      </c>
      <c r="B17" s="205" t="s">
        <v>1301</v>
      </c>
      <c r="C17" s="722"/>
      <c r="D17" s="722"/>
      <c r="E17" s="722"/>
      <c r="F17" s="722"/>
      <c r="G17" s="722"/>
    </row>
    <row r="18" spans="1:7" ht="14.25" customHeight="1">
      <c r="A18" s="257">
        <v>406</v>
      </c>
      <c r="B18" s="205" t="s">
        <v>1302</v>
      </c>
      <c r="C18" s="722"/>
      <c r="D18" s="722"/>
      <c r="E18" s="722"/>
      <c r="F18" s="722"/>
      <c r="G18" s="722"/>
    </row>
    <row r="19" spans="1:7" ht="14.25" customHeight="1">
      <c r="A19" s="257">
        <v>407</v>
      </c>
      <c r="B19" s="205" t="s">
        <v>1303</v>
      </c>
      <c r="C19" s="722"/>
      <c r="D19" s="722"/>
      <c r="E19" s="722"/>
      <c r="F19" s="722"/>
      <c r="G19" s="722"/>
    </row>
    <row r="20" spans="1:7" ht="14.25" customHeight="1">
      <c r="A20" s="257">
        <v>408</v>
      </c>
      <c r="B20" s="205" t="s">
        <v>1304</v>
      </c>
      <c r="C20" s="722"/>
      <c r="D20" s="722"/>
      <c r="E20" s="722"/>
      <c r="F20" s="722"/>
      <c r="G20" s="722"/>
    </row>
    <row r="21" spans="1:7" ht="14.25" customHeight="1">
      <c r="A21" s="724" t="s">
        <v>1305</v>
      </c>
      <c r="B21" s="725"/>
      <c r="C21" s="722">
        <f>SUM(C6:D8,C16:C20)</f>
        <v>0</v>
      </c>
      <c r="D21" s="722"/>
      <c r="E21" s="722">
        <f>SUM(E6:G8,E16:E20)</f>
        <v>0</v>
      </c>
      <c r="F21" s="722"/>
      <c r="G21" s="722"/>
    </row>
    <row r="22" spans="1:7" ht="14.25" customHeight="1">
      <c r="A22" s="720" t="s">
        <v>1306</v>
      </c>
      <c r="B22" s="721"/>
      <c r="C22" s="722"/>
      <c r="D22" s="722"/>
      <c r="E22" s="722"/>
      <c r="F22" s="722"/>
      <c r="G22" s="722"/>
    </row>
    <row r="23" spans="1:7" ht="14.25" customHeight="1">
      <c r="A23" s="257">
        <v>501</v>
      </c>
      <c r="B23" s="205" t="s">
        <v>1307</v>
      </c>
      <c r="C23" s="722">
        <f>SUM(C24:C27)</f>
        <v>0</v>
      </c>
      <c r="D23" s="722"/>
      <c r="E23" s="722">
        <f>SUM(E24:E27)</f>
        <v>0</v>
      </c>
      <c r="F23" s="722"/>
      <c r="G23" s="722"/>
    </row>
    <row r="24" spans="1:7" ht="14.25" customHeight="1">
      <c r="A24" s="214">
        <v>50101</v>
      </c>
      <c r="B24" s="205" t="s">
        <v>1308</v>
      </c>
      <c r="C24" s="722"/>
      <c r="D24" s="722"/>
      <c r="E24" s="722"/>
      <c r="F24" s="722"/>
      <c r="G24" s="722"/>
    </row>
    <row r="25" spans="1:7" ht="14.25" customHeight="1">
      <c r="A25" s="214">
        <v>50102</v>
      </c>
      <c r="B25" s="205" t="s">
        <v>1309</v>
      </c>
      <c r="C25" s="722"/>
      <c r="D25" s="722"/>
      <c r="E25" s="722"/>
      <c r="F25" s="722"/>
      <c r="G25" s="722"/>
    </row>
    <row r="26" spans="1:7" ht="14.25" customHeight="1">
      <c r="A26" s="214">
        <v>50103</v>
      </c>
      <c r="B26" s="205" t="s">
        <v>1310</v>
      </c>
      <c r="C26" s="722"/>
      <c r="D26" s="722"/>
      <c r="E26" s="722"/>
      <c r="F26" s="722"/>
      <c r="G26" s="722"/>
    </row>
    <row r="27" spans="1:7" ht="14.25" customHeight="1">
      <c r="A27" s="214">
        <v>50104</v>
      </c>
      <c r="B27" s="205" t="s">
        <v>1311</v>
      </c>
      <c r="C27" s="722"/>
      <c r="D27" s="722"/>
      <c r="E27" s="722"/>
      <c r="F27" s="722"/>
      <c r="G27" s="722"/>
    </row>
    <row r="28" spans="1:7" ht="14.25" customHeight="1">
      <c r="A28" s="257">
        <v>502</v>
      </c>
      <c r="B28" s="205" t="s">
        <v>1312</v>
      </c>
      <c r="C28" s="722">
        <f>SUM(C29:C34)</f>
        <v>0</v>
      </c>
      <c r="D28" s="722"/>
      <c r="E28" s="722">
        <f>SUM(E29:E34)</f>
        <v>0</v>
      </c>
      <c r="F28" s="722"/>
      <c r="G28" s="722"/>
    </row>
    <row r="29" spans="1:7" ht="14.25" customHeight="1">
      <c r="A29" s="214">
        <v>50201</v>
      </c>
      <c r="B29" s="205" t="s">
        <v>1313</v>
      </c>
      <c r="C29" s="722"/>
      <c r="D29" s="722"/>
      <c r="E29" s="722"/>
      <c r="F29" s="722"/>
      <c r="G29" s="722"/>
    </row>
    <row r="30" spans="1:7" ht="14.25" customHeight="1">
      <c r="A30" s="214">
        <v>50202</v>
      </c>
      <c r="B30" s="205" t="s">
        <v>1314</v>
      </c>
      <c r="C30" s="722"/>
      <c r="D30" s="722"/>
      <c r="E30" s="722"/>
      <c r="F30" s="722"/>
      <c r="G30" s="722"/>
    </row>
    <row r="31" spans="1:7" ht="14.25" customHeight="1">
      <c r="A31" s="214">
        <v>50203</v>
      </c>
      <c r="B31" s="205" t="s">
        <v>1315</v>
      </c>
      <c r="C31" s="722"/>
      <c r="D31" s="722"/>
      <c r="E31" s="722"/>
      <c r="F31" s="722"/>
      <c r="G31" s="722"/>
    </row>
    <row r="32" spans="1:7" ht="14.25" customHeight="1">
      <c r="A32" s="214">
        <v>50204</v>
      </c>
      <c r="B32" s="205" t="s">
        <v>1316</v>
      </c>
      <c r="C32" s="722"/>
      <c r="D32" s="722"/>
      <c r="E32" s="722"/>
      <c r="F32" s="722"/>
      <c r="G32" s="722"/>
    </row>
    <row r="33" spans="1:7" ht="14.25" customHeight="1">
      <c r="A33" s="214">
        <v>50205</v>
      </c>
      <c r="B33" s="205" t="s">
        <v>1317</v>
      </c>
      <c r="C33" s="722"/>
      <c r="D33" s="722"/>
      <c r="E33" s="722"/>
      <c r="F33" s="722"/>
      <c r="G33" s="722"/>
    </row>
    <row r="34" spans="1:7" ht="14.25" customHeight="1">
      <c r="A34" s="214">
        <v>50206</v>
      </c>
      <c r="B34" s="205" t="s">
        <v>1318</v>
      </c>
      <c r="C34" s="722"/>
      <c r="D34" s="722"/>
      <c r="E34" s="722"/>
      <c r="F34" s="722"/>
      <c r="G34" s="722"/>
    </row>
    <row r="35" spans="1:7" ht="14.25" customHeight="1">
      <c r="A35" s="257">
        <v>503</v>
      </c>
      <c r="B35" s="205" t="s">
        <v>1319</v>
      </c>
      <c r="C35" s="722">
        <f>SUM(C36:C40)</f>
        <v>0</v>
      </c>
      <c r="D35" s="722"/>
      <c r="E35" s="722">
        <f>SUM(E36:E40)</f>
        <v>0</v>
      </c>
      <c r="F35" s="722"/>
      <c r="G35" s="722"/>
    </row>
    <row r="36" spans="1:7" ht="14.25" customHeight="1">
      <c r="A36" s="214">
        <v>50301</v>
      </c>
      <c r="B36" s="205" t="s">
        <v>1320</v>
      </c>
      <c r="C36" s="722"/>
      <c r="D36" s="722"/>
      <c r="E36" s="722"/>
      <c r="F36" s="722"/>
      <c r="G36" s="722"/>
    </row>
    <row r="37" spans="1:7" ht="14.25" customHeight="1">
      <c r="A37" s="214">
        <v>50302</v>
      </c>
      <c r="B37" s="205" t="s">
        <v>1321</v>
      </c>
      <c r="C37" s="722"/>
      <c r="D37" s="722"/>
      <c r="E37" s="722"/>
      <c r="F37" s="722"/>
      <c r="G37" s="722"/>
    </row>
    <row r="38" spans="1:7" ht="14.25" customHeight="1">
      <c r="A38" s="214">
        <v>50303</v>
      </c>
      <c r="B38" s="205" t="s">
        <v>1322</v>
      </c>
      <c r="C38" s="722"/>
      <c r="D38" s="722"/>
      <c r="E38" s="722"/>
      <c r="F38" s="722"/>
      <c r="G38" s="722"/>
    </row>
    <row r="39" spans="1:7" ht="14.25" customHeight="1">
      <c r="A39" s="214">
        <v>50304</v>
      </c>
      <c r="B39" s="205" t="s">
        <v>1323</v>
      </c>
      <c r="C39" s="722"/>
      <c r="D39" s="722"/>
      <c r="E39" s="722"/>
      <c r="F39" s="722"/>
      <c r="G39" s="722"/>
    </row>
    <row r="40" spans="1:7" ht="14.25" customHeight="1">
      <c r="A40" s="214">
        <v>50305</v>
      </c>
      <c r="B40" s="205" t="s">
        <v>1324</v>
      </c>
      <c r="C40" s="722"/>
      <c r="D40" s="722"/>
      <c r="E40" s="722"/>
      <c r="F40" s="722"/>
      <c r="G40" s="722"/>
    </row>
    <row r="41" spans="1:7" ht="14.25" customHeight="1">
      <c r="A41" s="257">
        <v>504</v>
      </c>
      <c r="B41" s="205" t="s">
        <v>1325</v>
      </c>
      <c r="C41" s="722">
        <f>SUM(C42:C45)</f>
        <v>0</v>
      </c>
      <c r="D41" s="722"/>
      <c r="E41" s="722">
        <f>SUM(E42:E45)</f>
        <v>0</v>
      </c>
      <c r="F41" s="722"/>
      <c r="G41" s="722"/>
    </row>
    <row r="42" spans="1:7" ht="14.25" customHeight="1">
      <c r="A42" s="214">
        <v>50401</v>
      </c>
      <c r="B42" s="205" t="s">
        <v>1326</v>
      </c>
      <c r="C42" s="722"/>
      <c r="D42" s="722"/>
      <c r="E42" s="722"/>
      <c r="F42" s="722"/>
      <c r="G42" s="722"/>
    </row>
    <row r="43" spans="1:7" ht="14.25" customHeight="1">
      <c r="A43" s="214">
        <v>50402</v>
      </c>
      <c r="B43" s="205" t="s">
        <v>1327</v>
      </c>
      <c r="C43" s="722"/>
      <c r="D43" s="722"/>
      <c r="E43" s="722"/>
      <c r="F43" s="722"/>
      <c r="G43" s="722"/>
    </row>
    <row r="44" spans="1:7" ht="14.25" customHeight="1">
      <c r="A44" s="214">
        <v>50403</v>
      </c>
      <c r="B44" s="205" t="s">
        <v>1328</v>
      </c>
      <c r="C44" s="722"/>
      <c r="D44" s="722"/>
      <c r="E44" s="722"/>
      <c r="F44" s="722"/>
      <c r="G44" s="722"/>
    </row>
    <row r="45" spans="1:7" ht="14.25" customHeight="1">
      <c r="A45" s="214">
        <v>50404</v>
      </c>
      <c r="B45" s="205" t="s">
        <v>1329</v>
      </c>
      <c r="C45" s="722"/>
      <c r="D45" s="722"/>
      <c r="E45" s="722"/>
      <c r="F45" s="722"/>
      <c r="G45" s="722"/>
    </row>
    <row r="46" spans="1:7" ht="14.25" customHeight="1">
      <c r="A46" s="257">
        <v>505</v>
      </c>
      <c r="B46" s="205" t="s">
        <v>1330</v>
      </c>
      <c r="C46" s="722">
        <f>SUM(C47:C53)</f>
        <v>0</v>
      </c>
      <c r="D46" s="722"/>
      <c r="E46" s="722">
        <f>SUM(E47:E53)</f>
        <v>0</v>
      </c>
      <c r="F46" s="722"/>
      <c r="G46" s="722"/>
    </row>
    <row r="47" spans="1:7" ht="14.25" customHeight="1">
      <c r="A47" s="214">
        <v>50501</v>
      </c>
      <c r="B47" s="205" t="s">
        <v>1331</v>
      </c>
      <c r="C47" s="722"/>
      <c r="D47" s="722"/>
      <c r="E47" s="722"/>
      <c r="F47" s="722"/>
      <c r="G47" s="722"/>
    </row>
    <row r="48" spans="1:7" ht="14.25" customHeight="1">
      <c r="A48" s="214">
        <v>50502</v>
      </c>
      <c r="B48" s="205" t="s">
        <v>1332</v>
      </c>
      <c r="C48" s="722"/>
      <c r="D48" s="722"/>
      <c r="E48" s="722"/>
      <c r="F48" s="722"/>
      <c r="G48" s="722"/>
    </row>
    <row r="49" spans="1:7" ht="14.25" customHeight="1">
      <c r="A49" s="214">
        <v>50503</v>
      </c>
      <c r="B49" s="205" t="s">
        <v>1333</v>
      </c>
      <c r="C49" s="722"/>
      <c r="D49" s="722"/>
      <c r="E49" s="722"/>
      <c r="F49" s="722"/>
      <c r="G49" s="722"/>
    </row>
    <row r="50" spans="1:7" ht="14.25" customHeight="1">
      <c r="A50" s="214">
        <v>50504</v>
      </c>
      <c r="B50" s="205" t="s">
        <v>1334</v>
      </c>
      <c r="C50" s="722"/>
      <c r="D50" s="722"/>
      <c r="E50" s="722"/>
      <c r="F50" s="722"/>
      <c r="G50" s="722"/>
    </row>
    <row r="51" spans="1:7" ht="14.25" customHeight="1">
      <c r="A51" s="214">
        <v>50505</v>
      </c>
      <c r="B51" s="205" t="s">
        <v>1335</v>
      </c>
      <c r="C51" s="722"/>
      <c r="D51" s="722"/>
      <c r="E51" s="722"/>
      <c r="F51" s="722"/>
      <c r="G51" s="722"/>
    </row>
    <row r="52" spans="1:7" ht="14.25" customHeight="1">
      <c r="A52" s="214">
        <v>50506</v>
      </c>
      <c r="B52" s="205" t="s">
        <v>1336</v>
      </c>
      <c r="C52" s="722"/>
      <c r="D52" s="722"/>
      <c r="E52" s="722"/>
      <c r="F52" s="722"/>
      <c r="G52" s="722"/>
    </row>
    <row r="53" spans="1:7" ht="14.25" customHeight="1">
      <c r="A53" s="214">
        <v>50507</v>
      </c>
      <c r="B53" s="205" t="s">
        <v>1337</v>
      </c>
      <c r="C53" s="722"/>
      <c r="D53" s="722"/>
      <c r="E53" s="722"/>
      <c r="F53" s="722"/>
      <c r="G53" s="722"/>
    </row>
    <row r="54" spans="1:7" ht="14.25" customHeight="1">
      <c r="A54" s="257">
        <v>506</v>
      </c>
      <c r="B54" s="205" t="s">
        <v>1338</v>
      </c>
      <c r="C54" s="722">
        <f>SUM(C55:C61)</f>
        <v>0</v>
      </c>
      <c r="D54" s="722"/>
      <c r="E54" s="722">
        <f>SUM(E55:E61)</f>
        <v>0</v>
      </c>
      <c r="F54" s="722"/>
      <c r="G54" s="722"/>
    </row>
    <row r="55" spans="1:7" ht="14.25" customHeight="1">
      <c r="A55" s="214">
        <v>50601</v>
      </c>
      <c r="B55" s="205" t="s">
        <v>1293</v>
      </c>
      <c r="C55" s="722"/>
      <c r="D55" s="722"/>
      <c r="E55" s="722"/>
      <c r="F55" s="722"/>
      <c r="G55" s="722"/>
    </row>
    <row r="56" spans="1:7" ht="14.25" customHeight="1">
      <c r="A56" s="214">
        <v>50602</v>
      </c>
      <c r="B56" s="205" t="s">
        <v>1294</v>
      </c>
      <c r="C56" s="722"/>
      <c r="D56" s="722"/>
      <c r="E56" s="722"/>
      <c r="F56" s="722"/>
      <c r="G56" s="722"/>
    </row>
    <row r="57" spans="1:7" ht="14.25" customHeight="1">
      <c r="A57" s="214">
        <v>50603</v>
      </c>
      <c r="B57" s="205" t="s">
        <v>1295</v>
      </c>
      <c r="C57" s="722"/>
      <c r="D57" s="722"/>
      <c r="E57" s="722"/>
      <c r="F57" s="722"/>
      <c r="G57" s="722"/>
    </row>
    <row r="58" spans="1:7" ht="14.25" customHeight="1">
      <c r="A58" s="214">
        <v>50604</v>
      </c>
      <c r="B58" s="205" t="s">
        <v>1296</v>
      </c>
      <c r="C58" s="722"/>
      <c r="D58" s="722"/>
      <c r="E58" s="722"/>
      <c r="F58" s="722"/>
      <c r="G58" s="722"/>
    </row>
    <row r="59" spans="1:7" ht="14.25" customHeight="1">
      <c r="A59" s="214">
        <v>50605</v>
      </c>
      <c r="B59" s="205" t="s">
        <v>1297</v>
      </c>
      <c r="C59" s="722"/>
      <c r="D59" s="722"/>
      <c r="E59" s="722"/>
      <c r="F59" s="722"/>
      <c r="G59" s="722"/>
    </row>
    <row r="60" spans="1:7" ht="14.25" customHeight="1">
      <c r="A60" s="214">
        <v>50606</v>
      </c>
      <c r="B60" s="205" t="s">
        <v>1298</v>
      </c>
      <c r="C60" s="722"/>
      <c r="D60" s="722"/>
      <c r="E60" s="722"/>
      <c r="F60" s="722"/>
      <c r="G60" s="722"/>
    </row>
    <row r="61" spans="1:7" ht="14.25" customHeight="1">
      <c r="A61" s="214">
        <v>50607</v>
      </c>
      <c r="B61" s="205" t="s">
        <v>1299</v>
      </c>
      <c r="C61" s="722"/>
      <c r="D61" s="722"/>
      <c r="E61" s="722"/>
      <c r="F61" s="722"/>
      <c r="G61" s="722"/>
    </row>
    <row r="62" spans="1:7" ht="14.25" customHeight="1">
      <c r="A62" s="257">
        <v>507</v>
      </c>
      <c r="B62" s="205" t="s">
        <v>1339</v>
      </c>
      <c r="C62" s="722"/>
      <c r="D62" s="722"/>
      <c r="E62" s="722"/>
      <c r="F62" s="722"/>
      <c r="G62" s="722"/>
    </row>
    <row r="63" spans="1:7" ht="14.25" customHeight="1">
      <c r="A63" s="257">
        <v>508</v>
      </c>
      <c r="B63" s="205" t="s">
        <v>1340</v>
      </c>
      <c r="C63" s="722"/>
      <c r="D63" s="722"/>
      <c r="E63" s="722"/>
      <c r="F63" s="722"/>
      <c r="G63" s="722"/>
    </row>
    <row r="64" spans="1:7" ht="14.25" customHeight="1">
      <c r="A64" s="724" t="s">
        <v>1341</v>
      </c>
      <c r="B64" s="725"/>
      <c r="C64" s="722">
        <f>SUM(C23,C28,C35,C41,C46,C54,C62:C63)</f>
        <v>0</v>
      </c>
      <c r="D64" s="722"/>
      <c r="E64" s="722">
        <f>SUM(E23,E28,E35,E41,E46,E54,E62:E63)</f>
        <v>0</v>
      </c>
      <c r="F64" s="722"/>
      <c r="G64" s="722"/>
    </row>
    <row r="65" spans="1:7" ht="14.25" customHeight="1">
      <c r="A65" s="720" t="s">
        <v>1342</v>
      </c>
      <c r="B65" s="721"/>
      <c r="C65" s="722">
        <f>C21-C64</f>
        <v>0</v>
      </c>
      <c r="D65" s="722"/>
      <c r="E65" s="722">
        <f>E21-E64</f>
        <v>0</v>
      </c>
      <c r="F65" s="722"/>
      <c r="G65" s="722"/>
    </row>
    <row r="66" spans="1:7" ht="14.25" customHeight="1">
      <c r="A66" s="723" t="s">
        <v>1282</v>
      </c>
      <c r="B66" s="723"/>
      <c r="C66" s="723" t="s">
        <v>1283</v>
      </c>
      <c r="D66" s="723"/>
      <c r="E66" s="723" t="s">
        <v>1284</v>
      </c>
      <c r="F66" s="723"/>
      <c r="G66" s="538" t="s">
        <v>1285</v>
      </c>
    </row>
  </sheetData>
  <sheetProtection selectLockedCells="1"/>
  <mergeCells count="136">
    <mergeCell ref="A1:G1"/>
    <mergeCell ref="A3:B3"/>
    <mergeCell ref="C3:D3"/>
    <mergeCell ref="A4:B4"/>
    <mergeCell ref="C4:D4"/>
    <mergeCell ref="E4:G4"/>
    <mergeCell ref="A5:B5"/>
    <mergeCell ref="C5:D5"/>
    <mergeCell ref="E5:G5"/>
    <mergeCell ref="C6:D6"/>
    <mergeCell ref="E6:G6"/>
    <mergeCell ref="C7:D7"/>
    <mergeCell ref="E7:G7"/>
    <mergeCell ref="C8:D8"/>
    <mergeCell ref="E8:G8"/>
    <mergeCell ref="C9:D9"/>
    <mergeCell ref="E9:G9"/>
    <mergeCell ref="C10:D10"/>
    <mergeCell ref="E10:G10"/>
    <mergeCell ref="C11:D11"/>
    <mergeCell ref="E11:G11"/>
    <mergeCell ref="C12:D12"/>
    <mergeCell ref="E12:G12"/>
    <mergeCell ref="C13:D13"/>
    <mergeCell ref="E13:G13"/>
    <mergeCell ref="C14:D14"/>
    <mergeCell ref="E14:G14"/>
    <mergeCell ref="C15:D15"/>
    <mergeCell ref="E15:G15"/>
    <mergeCell ref="C16:D16"/>
    <mergeCell ref="E16:G16"/>
    <mergeCell ref="C17:D17"/>
    <mergeCell ref="E17:G17"/>
    <mergeCell ref="C18:D18"/>
    <mergeCell ref="E18:G18"/>
    <mergeCell ref="C19:D19"/>
    <mergeCell ref="E19:G19"/>
    <mergeCell ref="C20:D20"/>
    <mergeCell ref="E20:G20"/>
    <mergeCell ref="A21:B21"/>
    <mergeCell ref="C21:D21"/>
    <mergeCell ref="E21:G21"/>
    <mergeCell ref="A22:B22"/>
    <mergeCell ref="C22:D22"/>
    <mergeCell ref="E22:G22"/>
    <mergeCell ref="C23:D23"/>
    <mergeCell ref="E23:G23"/>
    <mergeCell ref="C24:D24"/>
    <mergeCell ref="E24:G24"/>
    <mergeCell ref="C25:D25"/>
    <mergeCell ref="E25:G25"/>
    <mergeCell ref="C26:D26"/>
    <mergeCell ref="E26:G26"/>
    <mergeCell ref="C27:D27"/>
    <mergeCell ref="E27:G27"/>
    <mergeCell ref="C28:D28"/>
    <mergeCell ref="E28:G28"/>
    <mergeCell ref="C29:D29"/>
    <mergeCell ref="E29:G29"/>
    <mergeCell ref="C30:D30"/>
    <mergeCell ref="E30:G30"/>
    <mergeCell ref="C31:D31"/>
    <mergeCell ref="E31:G31"/>
    <mergeCell ref="C32:D32"/>
    <mergeCell ref="E32:G32"/>
    <mergeCell ref="C33:D33"/>
    <mergeCell ref="E33:G33"/>
    <mergeCell ref="C34:D34"/>
    <mergeCell ref="E34:G34"/>
    <mergeCell ref="C35:D35"/>
    <mergeCell ref="E35:G35"/>
    <mergeCell ref="C36:D36"/>
    <mergeCell ref="E36:G36"/>
    <mergeCell ref="C37:D37"/>
    <mergeCell ref="E37:G37"/>
    <mergeCell ref="C38:D38"/>
    <mergeCell ref="E38:G38"/>
    <mergeCell ref="C39:D39"/>
    <mergeCell ref="E39:G39"/>
    <mergeCell ref="C40:D40"/>
    <mergeCell ref="E40:G40"/>
    <mergeCell ref="C41:D41"/>
    <mergeCell ref="E41:G41"/>
    <mergeCell ref="C42:D42"/>
    <mergeCell ref="E42:G42"/>
    <mergeCell ref="C43:D43"/>
    <mergeCell ref="E43:G43"/>
    <mergeCell ref="C44:D44"/>
    <mergeCell ref="E44:G44"/>
    <mergeCell ref="C45:D45"/>
    <mergeCell ref="E45:G45"/>
    <mergeCell ref="C46:D46"/>
    <mergeCell ref="E46:G46"/>
    <mergeCell ref="C47:D47"/>
    <mergeCell ref="E47:G47"/>
    <mergeCell ref="C48:D48"/>
    <mergeCell ref="E48:G48"/>
    <mergeCell ref="C49:D49"/>
    <mergeCell ref="E49:G49"/>
    <mergeCell ref="C50:D50"/>
    <mergeCell ref="E50:G50"/>
    <mergeCell ref="C51:D51"/>
    <mergeCell ref="E51:G51"/>
    <mergeCell ref="C52:D52"/>
    <mergeCell ref="E52:G52"/>
    <mergeCell ref="C53:D53"/>
    <mergeCell ref="E53:G53"/>
    <mergeCell ref="C54:D54"/>
    <mergeCell ref="E54:G54"/>
    <mergeCell ref="C55:D55"/>
    <mergeCell ref="E55:G55"/>
    <mergeCell ref="C56:D56"/>
    <mergeCell ref="E56:G56"/>
    <mergeCell ref="C57:D57"/>
    <mergeCell ref="E57:G57"/>
    <mergeCell ref="C58:D58"/>
    <mergeCell ref="E58:G58"/>
    <mergeCell ref="C59:D59"/>
    <mergeCell ref="E59:G59"/>
    <mergeCell ref="A65:B65"/>
    <mergeCell ref="C65:D65"/>
    <mergeCell ref="E65:G65"/>
    <mergeCell ref="A66:B66"/>
    <mergeCell ref="C66:D66"/>
    <mergeCell ref="E66:F66"/>
    <mergeCell ref="C60:D60"/>
    <mergeCell ref="E60:G60"/>
    <mergeCell ref="C61:D61"/>
    <mergeCell ref="E61:G61"/>
    <mergeCell ref="C62:D62"/>
    <mergeCell ref="E62:G62"/>
    <mergeCell ref="C63:D63"/>
    <mergeCell ref="E63:G63"/>
    <mergeCell ref="A64:B64"/>
    <mergeCell ref="C64:D64"/>
    <mergeCell ref="E64:G64"/>
  </mergeCells>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D7"/>
  <sheetViews>
    <sheetView workbookViewId="0">
      <selection activeCell="B2" sqref="B2"/>
    </sheetView>
  </sheetViews>
  <sheetFormatPr defaultColWidth="9" defaultRowHeight="14.25" customHeight="1"/>
  <cols>
    <col min="1" max="1" width="23.6328125" style="106" customWidth="1"/>
    <col min="2" max="2" width="25.6328125" style="106" customWidth="1"/>
    <col min="3" max="3" width="25" style="106" customWidth="1"/>
    <col min="4" max="4" width="25.6328125" style="106" customWidth="1"/>
    <col min="5" max="16384" width="9" style="106"/>
  </cols>
  <sheetData>
    <row r="1" spans="1:4" ht="14.25" customHeight="1">
      <c r="A1" s="657" t="s">
        <v>1678</v>
      </c>
      <c r="B1" s="657"/>
      <c r="C1" s="657"/>
      <c r="D1" s="658"/>
    </row>
    <row r="2" spans="1:4" ht="14.25" customHeight="1">
      <c r="A2" s="429" t="s">
        <v>1918</v>
      </c>
      <c r="B2" s="500" t="s">
        <v>1682</v>
      </c>
      <c r="C2" s="381" t="s">
        <v>1915</v>
      </c>
      <c r="D2" s="523" t="s">
        <v>1682</v>
      </c>
    </row>
    <row r="3" spans="1:4" ht="14.25" customHeight="1">
      <c r="A3" s="429" t="s">
        <v>1919</v>
      </c>
      <c r="B3" s="500" t="s">
        <v>1682</v>
      </c>
      <c r="C3" s="382" t="s">
        <v>1920</v>
      </c>
      <c r="D3" s="523" t="s">
        <v>1682</v>
      </c>
    </row>
    <row r="4" spans="1:4" ht="14.25" customHeight="1">
      <c r="A4" s="382" t="s">
        <v>1921</v>
      </c>
      <c r="B4" s="523" t="s">
        <v>1682</v>
      </c>
      <c r="C4" s="382" t="s">
        <v>1922</v>
      </c>
      <c r="D4" s="523" t="s">
        <v>1682</v>
      </c>
    </row>
    <row r="5" spans="1:4" ht="14.25" customHeight="1">
      <c r="A5" s="382" t="s">
        <v>1912</v>
      </c>
      <c r="B5" s="523"/>
      <c r="C5" s="382" t="s">
        <v>1917</v>
      </c>
      <c r="D5" s="523"/>
    </row>
    <row r="6" spans="1:4" ht="14.25" customHeight="1">
      <c r="A6" s="382" t="s">
        <v>1913</v>
      </c>
      <c r="B6" s="523"/>
      <c r="C6" s="386" t="s">
        <v>1738</v>
      </c>
      <c r="D6" s="523" t="s">
        <v>1682</v>
      </c>
    </row>
    <row r="7" spans="1:4" ht="14.25" customHeight="1">
      <c r="A7" s="381" t="s">
        <v>1731</v>
      </c>
      <c r="B7" s="523"/>
      <c r="C7" s="381" t="s">
        <v>1739</v>
      </c>
      <c r="D7" s="523"/>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pageSetup paperSize="9" orientation="portrait" horizontalDpi="180" verticalDpi="18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14"/>
  <sheetViews>
    <sheetView workbookViewId="0">
      <selection activeCell="F10" sqref="F10"/>
    </sheetView>
  </sheetViews>
  <sheetFormatPr defaultRowHeight="14"/>
  <cols>
    <col min="1" max="1" width="17.26953125" bestFit="1" customWidth="1"/>
    <col min="2" max="3" width="20.6328125" customWidth="1"/>
    <col min="4" max="4" width="19.26953125" bestFit="1" customWidth="1"/>
    <col min="5" max="6" width="20.6328125" customWidth="1"/>
  </cols>
  <sheetData>
    <row r="1" spans="1:6" ht="29.15" customHeight="1">
      <c r="A1" s="683" t="s">
        <v>1821</v>
      </c>
      <c r="B1" s="683"/>
      <c r="C1" s="683"/>
      <c r="D1" s="683"/>
      <c r="E1" s="683"/>
      <c r="F1" s="683"/>
    </row>
    <row r="2" spans="1:6" ht="14.25" customHeight="1">
      <c r="A2" s="106"/>
      <c r="B2" s="106"/>
      <c r="C2" s="106"/>
      <c r="D2" s="106"/>
      <c r="E2" s="106"/>
      <c r="F2" s="109" t="s">
        <v>1638</v>
      </c>
    </row>
    <row r="3" spans="1:6" ht="14.25" customHeight="1">
      <c r="A3" s="379" t="s">
        <v>1639</v>
      </c>
      <c r="B3" s="682" t="s">
        <v>1640</v>
      </c>
      <c r="C3" s="682"/>
      <c r="D3" s="682"/>
      <c r="E3" s="350"/>
      <c r="F3" s="109" t="s">
        <v>1641</v>
      </c>
    </row>
    <row r="4" spans="1:6" ht="14.25" customHeight="1">
      <c r="A4" s="256" t="s">
        <v>1642</v>
      </c>
      <c r="B4" s="256" t="s">
        <v>1643</v>
      </c>
      <c r="C4" s="256" t="s">
        <v>1644</v>
      </c>
      <c r="D4" s="256" t="s">
        <v>1645</v>
      </c>
      <c r="E4" s="256" t="s">
        <v>1643</v>
      </c>
      <c r="F4" s="256" t="s">
        <v>1644</v>
      </c>
    </row>
    <row r="5" spans="1:6" ht="14.25" customHeight="1">
      <c r="A5" s="391" t="s">
        <v>1646</v>
      </c>
      <c r="B5" s="637"/>
      <c r="C5" s="637"/>
      <c r="D5" s="352" t="s">
        <v>1647</v>
      </c>
      <c r="E5" s="638"/>
      <c r="F5" s="638"/>
    </row>
    <row r="6" spans="1:6" ht="14.25" customHeight="1">
      <c r="A6" s="271" t="s">
        <v>1648</v>
      </c>
      <c r="B6" s="637"/>
      <c r="C6" s="637"/>
      <c r="D6" s="351" t="s">
        <v>1649</v>
      </c>
      <c r="E6" s="638"/>
      <c r="F6" s="638"/>
    </row>
    <row r="7" spans="1:6" ht="14.25" customHeight="1">
      <c r="A7" s="271" t="s">
        <v>1650</v>
      </c>
      <c r="B7" s="637"/>
      <c r="C7" s="637"/>
      <c r="D7" s="353" t="s">
        <v>1651</v>
      </c>
      <c r="E7" s="638">
        <f>E6</f>
        <v>0</v>
      </c>
      <c r="F7" s="638">
        <f>F6</f>
        <v>0</v>
      </c>
    </row>
    <row r="8" spans="1:6" ht="14.25" customHeight="1">
      <c r="A8" s="271" t="s">
        <v>1652</v>
      </c>
      <c r="B8" s="637"/>
      <c r="C8" s="637"/>
      <c r="D8" s="352" t="s">
        <v>1653</v>
      </c>
      <c r="E8" s="638"/>
      <c r="F8" s="638"/>
    </row>
    <row r="9" spans="1:6" ht="14.25" customHeight="1">
      <c r="A9" s="271" t="s">
        <v>1654</v>
      </c>
      <c r="B9" s="637"/>
      <c r="C9" s="637"/>
      <c r="D9" s="351" t="s">
        <v>1655</v>
      </c>
      <c r="E9" s="638"/>
      <c r="F9" s="638"/>
    </row>
    <row r="10" spans="1:6" ht="14.25" customHeight="1">
      <c r="A10" s="271"/>
      <c r="B10" s="637"/>
      <c r="C10" s="637"/>
      <c r="D10" s="351" t="s">
        <v>1656</v>
      </c>
      <c r="E10" s="638"/>
      <c r="F10" s="638"/>
    </row>
    <row r="11" spans="1:6" ht="14.25" customHeight="1">
      <c r="A11" s="271"/>
      <c r="B11" s="637"/>
      <c r="C11" s="637"/>
      <c r="D11" s="351" t="s">
        <v>1343</v>
      </c>
      <c r="E11" s="638"/>
      <c r="F11" s="638"/>
    </row>
    <row r="12" spans="1:6" ht="14.25" customHeight="1">
      <c r="A12" s="271"/>
      <c r="B12" s="637"/>
      <c r="C12" s="637"/>
      <c r="D12" s="351" t="s">
        <v>1657</v>
      </c>
      <c r="E12" s="638"/>
      <c r="F12" s="638"/>
    </row>
    <row r="13" spans="1:6" ht="14.25" customHeight="1">
      <c r="A13" s="271"/>
      <c r="B13" s="637"/>
      <c r="C13" s="637"/>
      <c r="D13" s="353" t="s">
        <v>1658</v>
      </c>
      <c r="E13" s="638">
        <f>E9+E12</f>
        <v>0</v>
      </c>
      <c r="F13" s="638">
        <f>F9+F12</f>
        <v>0</v>
      </c>
    </row>
    <row r="14" spans="1:6" ht="14.25" customHeight="1">
      <c r="A14" s="256" t="s">
        <v>1659</v>
      </c>
      <c r="B14" s="637">
        <f>SUM(B6:B9)</f>
        <v>0</v>
      </c>
      <c r="C14" s="637">
        <f>SUM(C6:C9)</f>
        <v>0</v>
      </c>
      <c r="D14" s="352" t="s">
        <v>1660</v>
      </c>
      <c r="E14" s="638">
        <f>E7+E13</f>
        <v>0</v>
      </c>
      <c r="F14" s="638">
        <f>F7+F13</f>
        <v>0</v>
      </c>
    </row>
  </sheetData>
  <sheetProtection selectLockedCells="1"/>
  <mergeCells count="2">
    <mergeCell ref="A1:F1"/>
    <mergeCell ref="B3:D3"/>
  </mergeCells>
  <phoneticPr fontId="1" type="noConversion"/>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D22"/>
  <sheetViews>
    <sheetView workbookViewId="0">
      <selection activeCell="C5" sqref="C5:D22"/>
    </sheetView>
  </sheetViews>
  <sheetFormatPr defaultRowHeight="14"/>
  <cols>
    <col min="1" max="1" width="4.453125" customWidth="1"/>
    <col min="2" max="2" width="23.6328125" bestFit="1" customWidth="1"/>
    <col min="3" max="4" width="20.6328125" customWidth="1"/>
  </cols>
  <sheetData>
    <row r="1" spans="1:4" ht="29.15" customHeight="1">
      <c r="A1" s="683" t="s">
        <v>1822</v>
      </c>
      <c r="B1" s="683"/>
      <c r="C1" s="683"/>
      <c r="D1" s="683"/>
    </row>
    <row r="2" spans="1:4" ht="14.25" customHeight="1">
      <c r="A2" s="106"/>
      <c r="B2" s="106"/>
      <c r="C2" s="106"/>
      <c r="D2" s="109" t="s">
        <v>1497</v>
      </c>
    </row>
    <row r="3" spans="1:4" ht="14.25" customHeight="1">
      <c r="A3" s="379" t="s">
        <v>503</v>
      </c>
      <c r="B3" s="379"/>
      <c r="C3" s="538" t="s">
        <v>1498</v>
      </c>
      <c r="D3" s="109" t="s">
        <v>505</v>
      </c>
    </row>
    <row r="4" spans="1:4" ht="14.25" customHeight="1">
      <c r="A4" s="728"/>
      <c r="B4" s="728"/>
      <c r="C4" s="253" t="s">
        <v>571</v>
      </c>
      <c r="D4" s="253" t="s">
        <v>621</v>
      </c>
    </row>
    <row r="5" spans="1:4" ht="14.25" customHeight="1">
      <c r="A5" s="727" t="s">
        <v>1499</v>
      </c>
      <c r="B5" s="727"/>
      <c r="C5" s="645">
        <f>C12+C13</f>
        <v>0</v>
      </c>
      <c r="D5" s="645">
        <f>D12+D13</f>
        <v>0</v>
      </c>
    </row>
    <row r="6" spans="1:4" ht="14.25" customHeight="1">
      <c r="A6" s="729" t="s">
        <v>1500</v>
      </c>
      <c r="B6" s="90" t="s">
        <v>1501</v>
      </c>
      <c r="C6" s="645"/>
      <c r="D6" s="645"/>
    </row>
    <row r="7" spans="1:4" ht="14.25" customHeight="1">
      <c r="A7" s="729"/>
      <c r="B7" s="90" t="s">
        <v>1502</v>
      </c>
      <c r="C7" s="645"/>
      <c r="D7" s="645"/>
    </row>
    <row r="8" spans="1:4" ht="14.25" customHeight="1">
      <c r="A8" s="729"/>
      <c r="B8" s="90" t="s">
        <v>1503</v>
      </c>
      <c r="C8" s="645"/>
      <c r="D8" s="645"/>
    </row>
    <row r="9" spans="1:4" ht="14.25" customHeight="1">
      <c r="A9" s="729"/>
      <c r="B9" s="90" t="s">
        <v>1504</v>
      </c>
      <c r="C9" s="645"/>
      <c r="D9" s="645"/>
    </row>
    <row r="10" spans="1:4" ht="14.25" customHeight="1">
      <c r="A10" s="729"/>
      <c r="B10" s="90" t="s">
        <v>1505</v>
      </c>
      <c r="C10" s="645"/>
      <c r="D10" s="645"/>
    </row>
    <row r="11" spans="1:4" ht="14.25" customHeight="1">
      <c r="A11" s="729"/>
      <c r="B11" s="90" t="s">
        <v>1506</v>
      </c>
      <c r="C11" s="645"/>
      <c r="D11" s="645"/>
    </row>
    <row r="12" spans="1:4" ht="14.25" customHeight="1">
      <c r="A12" s="729" t="s">
        <v>1507</v>
      </c>
      <c r="B12" s="90" t="s">
        <v>1508</v>
      </c>
      <c r="C12" s="645"/>
      <c r="D12" s="645"/>
    </row>
    <row r="13" spans="1:4" ht="14.25" customHeight="1">
      <c r="A13" s="729"/>
      <c r="B13" s="90" t="s">
        <v>1509</v>
      </c>
      <c r="C13" s="645"/>
      <c r="D13" s="645"/>
    </row>
    <row r="14" spans="1:4" ht="14.25" customHeight="1">
      <c r="A14" s="727" t="s">
        <v>1510</v>
      </c>
      <c r="B14" s="727"/>
      <c r="C14" s="645">
        <f>C15+C19</f>
        <v>0</v>
      </c>
      <c r="D14" s="645">
        <f>D15+D19</f>
        <v>0</v>
      </c>
    </row>
    <row r="15" spans="1:4" ht="14.25" customHeight="1">
      <c r="A15" s="727" t="s">
        <v>1511</v>
      </c>
      <c r="B15" s="727"/>
      <c r="C15" s="645">
        <f>SUM(C16:C18)</f>
        <v>0</v>
      </c>
      <c r="D15" s="645">
        <f>SUM(D16:D18)</f>
        <v>0</v>
      </c>
    </row>
    <row r="16" spans="1:4" ht="14.25" customHeight="1">
      <c r="A16" s="721" t="s">
        <v>1512</v>
      </c>
      <c r="B16" s="721"/>
      <c r="C16" s="645"/>
      <c r="D16" s="645"/>
    </row>
    <row r="17" spans="1:4" ht="14.25" customHeight="1">
      <c r="A17" s="721" t="s">
        <v>1513</v>
      </c>
      <c r="B17" s="721"/>
      <c r="C17" s="645"/>
      <c r="D17" s="645"/>
    </row>
    <row r="18" spans="1:4" ht="14.25" customHeight="1">
      <c r="A18" s="721" t="s">
        <v>1514</v>
      </c>
      <c r="B18" s="721"/>
      <c r="C18" s="645"/>
      <c r="D18" s="645"/>
    </row>
    <row r="19" spans="1:4" ht="14.25" customHeight="1">
      <c r="A19" s="727" t="s">
        <v>1515</v>
      </c>
      <c r="B19" s="727"/>
      <c r="C19" s="645"/>
      <c r="D19" s="645"/>
    </row>
    <row r="20" spans="1:4" ht="14.25" customHeight="1">
      <c r="A20" s="727" t="s">
        <v>1516</v>
      </c>
      <c r="B20" s="727"/>
      <c r="C20" s="645">
        <f>C5-C14</f>
        <v>0</v>
      </c>
      <c r="D20" s="645">
        <f>D5-D14</f>
        <v>0</v>
      </c>
    </row>
    <row r="21" spans="1:4" ht="14.25" customHeight="1">
      <c r="A21" s="726" t="s">
        <v>1517</v>
      </c>
      <c r="B21" s="726"/>
      <c r="C21" s="645">
        <f>C12-C15</f>
        <v>0</v>
      </c>
      <c r="D21" s="645">
        <f>D12-D15</f>
        <v>0</v>
      </c>
    </row>
    <row r="22" spans="1:4" ht="14.25" customHeight="1">
      <c r="A22" s="726" t="s">
        <v>1518</v>
      </c>
      <c r="B22" s="726"/>
      <c r="C22" s="645">
        <f>C13-C19</f>
        <v>0</v>
      </c>
      <c r="D22" s="645">
        <f>D13-D19</f>
        <v>0</v>
      </c>
    </row>
  </sheetData>
  <sheetProtection selectLockedCells="1"/>
  <mergeCells count="14">
    <mergeCell ref="A14:B14"/>
    <mergeCell ref="A1:D1"/>
    <mergeCell ref="A4:B4"/>
    <mergeCell ref="A5:B5"/>
    <mergeCell ref="A6:A11"/>
    <mergeCell ref="A12:A13"/>
    <mergeCell ref="A21:B21"/>
    <mergeCell ref="A22:B22"/>
    <mergeCell ref="A15:B15"/>
    <mergeCell ref="A16:B16"/>
    <mergeCell ref="A17:B17"/>
    <mergeCell ref="A18:B18"/>
    <mergeCell ref="A19:B19"/>
    <mergeCell ref="A20:B20"/>
  </mergeCells>
  <phoneticPr fontId="1" type="noConversion"/>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D7"/>
  <sheetViews>
    <sheetView workbookViewId="0">
      <selection activeCell="B2" sqref="B2"/>
    </sheetView>
  </sheetViews>
  <sheetFormatPr defaultColWidth="9" defaultRowHeight="14.25" customHeight="1"/>
  <cols>
    <col min="1" max="1" width="23.6328125" style="106" customWidth="1"/>
    <col min="2" max="2" width="21.90625" style="106" customWidth="1"/>
    <col min="3" max="3" width="25" style="106" customWidth="1"/>
    <col min="4" max="4" width="33.453125" style="106" customWidth="1"/>
    <col min="5" max="16384" width="9" style="106"/>
  </cols>
  <sheetData>
    <row r="1" spans="1:4" ht="14.25" customHeight="1">
      <c r="A1" s="657" t="s">
        <v>1678</v>
      </c>
      <c r="B1" s="657"/>
      <c r="C1" s="657"/>
      <c r="D1" s="658"/>
    </row>
    <row r="2" spans="1:4" ht="14.25" customHeight="1">
      <c r="A2" s="429" t="s">
        <v>1918</v>
      </c>
      <c r="B2" s="500" t="s">
        <v>1682</v>
      </c>
      <c r="C2" s="381" t="s">
        <v>1915</v>
      </c>
      <c r="D2" s="523" t="s">
        <v>1682</v>
      </c>
    </row>
    <row r="3" spans="1:4" ht="14.25" customHeight="1">
      <c r="A3" s="429" t="s">
        <v>1919</v>
      </c>
      <c r="B3" s="500" t="s">
        <v>1682</v>
      </c>
      <c r="C3" s="382" t="s">
        <v>1920</v>
      </c>
      <c r="D3" s="523" t="s">
        <v>1682</v>
      </c>
    </row>
    <row r="4" spans="1:4" ht="14.25" customHeight="1">
      <c r="A4" s="382" t="s">
        <v>1921</v>
      </c>
      <c r="B4" s="523" t="s">
        <v>1682</v>
      </c>
      <c r="C4" s="382" t="s">
        <v>1922</v>
      </c>
      <c r="D4" s="523" t="s">
        <v>1682</v>
      </c>
    </row>
    <row r="5" spans="1:4" ht="14.25" customHeight="1">
      <c r="A5" s="382" t="s">
        <v>1912</v>
      </c>
      <c r="B5" s="523"/>
      <c r="C5" s="382" t="s">
        <v>1917</v>
      </c>
      <c r="D5" s="523"/>
    </row>
    <row r="6" spans="1:4" ht="14.25" customHeight="1">
      <c r="A6" s="382" t="s">
        <v>1913</v>
      </c>
      <c r="B6" s="523"/>
      <c r="C6" s="386" t="s">
        <v>1738</v>
      </c>
      <c r="D6" s="523" t="s">
        <v>1682</v>
      </c>
    </row>
    <row r="7" spans="1:4" ht="14.25" customHeight="1">
      <c r="A7" s="381" t="s">
        <v>1731</v>
      </c>
      <c r="B7" s="523"/>
      <c r="C7" s="381" t="s">
        <v>1739</v>
      </c>
      <c r="D7" s="523"/>
    </row>
  </sheetData>
  <sheetProtection selectLockedCells="1"/>
  <mergeCells count="1">
    <mergeCell ref="A1:D1"/>
  </mergeCells>
  <phoneticPr fontId="1" type="noConversion"/>
  <dataValidations count="8">
    <dataValidation type="whole" operator="notEqual" allowBlank="1" showInputMessage="1" showErrorMessage="1" error="请输入整数" sqref="D5">
      <formula1>-99999</formula1>
    </dataValidation>
    <dataValidation type="whole" operator="notEqual" allowBlank="1" showInputMessage="1" showErrorMessage="1" error="请输入整数" sqref="B5">
      <formula1>-99999999</formula1>
    </dataValidation>
    <dataValidation type="list" allowBlank="1" showInputMessage="1" showErrorMessage="1" sqref="B4 D4">
      <formula1>"请选择,一月,二月,三月,四月,五月,六月,七月,八月,九月,十月,十一月,十二月"</formula1>
    </dataValidation>
    <dataValidation type="list" allowBlank="1" showInputMessage="1" showErrorMessage="1" sqref="D3">
      <formula1>"请选择,一季度,二季度,三季度,四季度"</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2">
      <formula1>"请选择,年度,季度,按月份"</formula1>
    </dataValidation>
    <dataValidation type="list" allowBlank="1" showInputMessage="1" showErrorMessage="1" sqref="B2">
      <formula1>"请选择,中央企业集团,上市公司,其它公司"</formula1>
    </dataValidation>
    <dataValidation type="list" allowBlank="1" showInputMessage="1" showErrorMessage="1" sqref="D6">
      <formula1>"请选择,无保留意见,保留意见,无保留意见带强调事项,否定意见,无法表示意见"</formula1>
    </dataValidation>
  </dataValidations>
  <pageMargins left="0.7" right="0.7" top="0.75" bottom="0.75" header="0.3" footer="0.3"/>
  <pageSetup paperSize="9" orientation="portrait" horizontalDpi="180" verticalDpi="18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37"/>
  <sheetViews>
    <sheetView workbookViewId="0">
      <selection activeCell="H24" sqref="H24"/>
    </sheetView>
  </sheetViews>
  <sheetFormatPr defaultColWidth="9" defaultRowHeight="14"/>
  <cols>
    <col min="1" max="1" width="17.36328125" style="177" customWidth="1"/>
    <col min="2" max="2" width="5.26953125" style="177" bestFit="1" customWidth="1"/>
    <col min="3" max="4" width="20.6328125" style="177" customWidth="1"/>
    <col min="5" max="5" width="21.36328125" style="177" bestFit="1" customWidth="1"/>
    <col min="6" max="6" width="5.26953125" style="76" bestFit="1" customWidth="1"/>
    <col min="7" max="8" width="20.6328125" style="177" customWidth="1"/>
    <col min="9" max="16384" width="9" style="177"/>
  </cols>
  <sheetData>
    <row r="1" spans="1:8" ht="29.15" customHeight="1">
      <c r="A1" s="731" t="s">
        <v>1673</v>
      </c>
      <c r="B1" s="732"/>
      <c r="C1" s="732"/>
      <c r="D1" s="732"/>
      <c r="E1" s="732"/>
      <c r="F1" s="732"/>
      <c r="G1" s="732"/>
      <c r="H1" s="733"/>
    </row>
    <row r="2" spans="1:8" s="216" customFormat="1" ht="14.25" customHeight="1">
      <c r="A2" s="212"/>
      <c r="B2" s="704" t="s">
        <v>1344</v>
      </c>
      <c r="C2" s="730"/>
      <c r="D2" s="730"/>
      <c r="E2" s="730"/>
      <c r="F2" s="730"/>
      <c r="G2" s="730"/>
      <c r="H2" s="218" t="s">
        <v>1345</v>
      </c>
    </row>
    <row r="3" spans="1:8" ht="14.25" customHeight="1">
      <c r="A3" s="555" t="s">
        <v>1099</v>
      </c>
      <c r="B3" s="212"/>
      <c r="C3" s="212"/>
      <c r="D3" s="212"/>
      <c r="E3" s="212"/>
      <c r="F3" s="217"/>
      <c r="G3" s="212"/>
      <c r="H3" s="218" t="s">
        <v>604</v>
      </c>
    </row>
    <row r="4" spans="1:8" ht="14.25" customHeight="1">
      <c r="A4" s="203" t="s">
        <v>1346</v>
      </c>
      <c r="B4" s="91" t="s">
        <v>1823</v>
      </c>
      <c r="C4" s="91" t="s">
        <v>1347</v>
      </c>
      <c r="D4" s="91" t="s">
        <v>1348</v>
      </c>
      <c r="E4" s="91" t="s">
        <v>1349</v>
      </c>
      <c r="F4" s="91" t="s">
        <v>3</v>
      </c>
      <c r="G4" s="91" t="s">
        <v>1347</v>
      </c>
      <c r="H4" s="91" t="s">
        <v>1348</v>
      </c>
    </row>
    <row r="5" spans="1:8" ht="14.25" customHeight="1">
      <c r="A5" s="206" t="s">
        <v>511</v>
      </c>
      <c r="B5" s="91"/>
      <c r="C5" s="574"/>
      <c r="D5" s="573"/>
      <c r="E5" s="205" t="s">
        <v>6</v>
      </c>
      <c r="F5" s="91"/>
      <c r="G5" s="573"/>
      <c r="H5" s="573"/>
    </row>
    <row r="6" spans="1:8" ht="14.25" customHeight="1">
      <c r="A6" s="206" t="s">
        <v>1045</v>
      </c>
      <c r="B6" s="91">
        <v>1</v>
      </c>
      <c r="C6" s="573"/>
      <c r="D6" s="573"/>
      <c r="E6" s="205" t="s">
        <v>1046</v>
      </c>
      <c r="F6" s="91">
        <v>35</v>
      </c>
      <c r="G6" s="573"/>
      <c r="H6" s="573"/>
    </row>
    <row r="7" spans="1:8" ht="14.25" customHeight="1">
      <c r="A7" s="206" t="s">
        <v>1047</v>
      </c>
      <c r="B7" s="91">
        <v>2</v>
      </c>
      <c r="C7" s="573"/>
      <c r="D7" s="573"/>
      <c r="E7" s="205" t="s">
        <v>1350</v>
      </c>
      <c r="F7" s="91">
        <v>36</v>
      </c>
      <c r="G7" s="573"/>
      <c r="H7" s="573"/>
    </row>
    <row r="8" spans="1:8" ht="14.25" customHeight="1">
      <c r="A8" s="206" t="s">
        <v>1351</v>
      </c>
      <c r="B8" s="91">
        <v>5</v>
      </c>
      <c r="C8" s="573"/>
      <c r="D8" s="573"/>
      <c r="E8" s="205" t="s">
        <v>1352</v>
      </c>
      <c r="F8" s="91">
        <v>37</v>
      </c>
      <c r="G8" s="573"/>
      <c r="H8" s="573"/>
    </row>
    <row r="9" spans="1:8" ht="14.25" customHeight="1">
      <c r="A9" s="206" t="s">
        <v>1353</v>
      </c>
      <c r="B9" s="91">
        <v>8</v>
      </c>
      <c r="C9" s="573"/>
      <c r="D9" s="573"/>
      <c r="E9" s="205" t="s">
        <v>1354</v>
      </c>
      <c r="F9" s="91">
        <v>38</v>
      </c>
      <c r="G9" s="573"/>
      <c r="H9" s="573"/>
    </row>
    <row r="10" spans="1:8" ht="14.25" customHeight="1">
      <c r="A10" s="206" t="s">
        <v>1355</v>
      </c>
      <c r="B10" s="91">
        <v>9</v>
      </c>
      <c r="C10" s="573">
        <f>SUM(C6:C9)</f>
        <v>0</v>
      </c>
      <c r="D10" s="645">
        <f>SUM(D6:D9)</f>
        <v>0</v>
      </c>
      <c r="E10" s="205" t="s">
        <v>1070</v>
      </c>
      <c r="F10" s="91">
        <v>41</v>
      </c>
      <c r="G10" s="573">
        <f>SUM(G6:G9)</f>
        <v>0</v>
      </c>
      <c r="H10" s="645">
        <f>SUM(H6:H9)</f>
        <v>0</v>
      </c>
    </row>
    <row r="11" spans="1:8" ht="14.25" customHeight="1">
      <c r="A11" s="206" t="s">
        <v>1356</v>
      </c>
      <c r="B11" s="91"/>
      <c r="C11" s="573"/>
      <c r="D11" s="573"/>
      <c r="E11" s="205" t="s">
        <v>1357</v>
      </c>
      <c r="F11" s="91"/>
      <c r="G11" s="573"/>
      <c r="H11" s="573"/>
    </row>
    <row r="12" spans="1:8" ht="14.25" customHeight="1">
      <c r="A12" s="206" t="s">
        <v>1358</v>
      </c>
      <c r="B12" s="91">
        <v>10</v>
      </c>
      <c r="C12" s="573"/>
      <c r="D12" s="573"/>
      <c r="E12" s="205" t="s">
        <v>1359</v>
      </c>
      <c r="F12" s="91">
        <v>42</v>
      </c>
      <c r="G12" s="573"/>
      <c r="H12" s="573"/>
    </row>
    <row r="13" spans="1:8" ht="14.25" customHeight="1">
      <c r="A13" s="206" t="s">
        <v>1360</v>
      </c>
      <c r="B13" s="91">
        <v>11</v>
      </c>
      <c r="C13" s="573"/>
      <c r="D13" s="573"/>
      <c r="E13" s="205" t="s">
        <v>1361</v>
      </c>
      <c r="F13" s="91">
        <v>43</v>
      </c>
      <c r="G13" s="573"/>
      <c r="H13" s="573"/>
    </row>
    <row r="14" spans="1:8" ht="14.25" customHeight="1">
      <c r="A14" s="206" t="s">
        <v>1362</v>
      </c>
      <c r="B14" s="91">
        <v>15</v>
      </c>
      <c r="C14" s="573">
        <f>SUM(C12:C13)</f>
        <v>0</v>
      </c>
      <c r="D14" s="645">
        <f>SUM(D12:D13)</f>
        <v>0</v>
      </c>
      <c r="E14" s="205" t="s">
        <v>1363</v>
      </c>
      <c r="F14" s="91">
        <v>46</v>
      </c>
      <c r="G14" s="573">
        <f>SUM(G12:G13)</f>
        <v>0</v>
      </c>
      <c r="H14" s="645">
        <f>SUM(H12:H13)</f>
        <v>0</v>
      </c>
    </row>
    <row r="15" spans="1:8" ht="14.25" customHeight="1">
      <c r="A15" s="206" t="s">
        <v>1364</v>
      </c>
      <c r="B15" s="91"/>
      <c r="C15" s="573"/>
      <c r="D15" s="573"/>
      <c r="E15" s="205" t="s">
        <v>1365</v>
      </c>
      <c r="F15" s="91">
        <v>49</v>
      </c>
      <c r="G15" s="573">
        <f>G10+G14</f>
        <v>0</v>
      </c>
      <c r="H15" s="645">
        <f>H10+H14</f>
        <v>0</v>
      </c>
    </row>
    <row r="16" spans="1:8" ht="14.25" customHeight="1">
      <c r="A16" s="206" t="s">
        <v>1067</v>
      </c>
      <c r="B16" s="91">
        <v>16</v>
      </c>
      <c r="C16" s="573"/>
      <c r="D16" s="573"/>
      <c r="E16" s="205"/>
      <c r="F16" s="91"/>
      <c r="G16" s="573"/>
      <c r="H16" s="573"/>
    </row>
    <row r="17" spans="1:8" ht="14.25" customHeight="1">
      <c r="A17" s="206" t="s">
        <v>1366</v>
      </c>
      <c r="B17" s="91"/>
      <c r="C17" s="573"/>
      <c r="D17" s="573"/>
      <c r="E17" s="205"/>
      <c r="F17" s="91"/>
      <c r="G17" s="573"/>
      <c r="H17" s="573"/>
    </row>
    <row r="18" spans="1:8" ht="14.25" customHeight="1">
      <c r="A18" s="206" t="s">
        <v>1367</v>
      </c>
      <c r="B18" s="91">
        <v>19</v>
      </c>
      <c r="C18" s="573"/>
      <c r="D18" s="573"/>
      <c r="E18" s="205"/>
      <c r="F18" s="91"/>
      <c r="G18" s="573"/>
      <c r="H18" s="573"/>
    </row>
    <row r="19" spans="1:8" ht="14.25" customHeight="1">
      <c r="A19" s="206" t="s">
        <v>1368</v>
      </c>
      <c r="B19" s="91">
        <v>20</v>
      </c>
      <c r="C19" s="573"/>
      <c r="D19" s="573"/>
      <c r="E19" s="205" t="s">
        <v>1369</v>
      </c>
      <c r="F19" s="91"/>
      <c r="G19" s="573"/>
      <c r="H19" s="573"/>
    </row>
    <row r="20" spans="1:8" ht="14.25" customHeight="1">
      <c r="A20" s="206" t="s">
        <v>1370</v>
      </c>
      <c r="B20" s="91">
        <v>21</v>
      </c>
      <c r="C20" s="573">
        <f>C18-C19</f>
        <v>0</v>
      </c>
      <c r="D20" s="645">
        <f>D18-D19</f>
        <v>0</v>
      </c>
      <c r="E20" s="205" t="s">
        <v>1371</v>
      </c>
      <c r="F20" s="91">
        <v>50</v>
      </c>
      <c r="G20" s="573"/>
      <c r="H20" s="573"/>
    </row>
    <row r="21" spans="1:8" ht="14.25" customHeight="1">
      <c r="A21" s="206" t="s">
        <v>1372</v>
      </c>
      <c r="B21" s="91">
        <v>22</v>
      </c>
      <c r="C21" s="573"/>
      <c r="D21" s="573"/>
      <c r="E21" s="205" t="s">
        <v>1373</v>
      </c>
      <c r="F21" s="91">
        <v>51</v>
      </c>
      <c r="G21" s="573"/>
      <c r="H21" s="573"/>
    </row>
    <row r="22" spans="1:8" ht="14.25" customHeight="1">
      <c r="A22" s="206" t="s">
        <v>1075</v>
      </c>
      <c r="B22" s="91">
        <v>23</v>
      </c>
      <c r="C22" s="573"/>
      <c r="D22" s="573"/>
      <c r="E22" s="205" t="s">
        <v>1374</v>
      </c>
      <c r="F22" s="91">
        <v>52</v>
      </c>
      <c r="G22" s="573"/>
      <c r="H22" s="573"/>
    </row>
    <row r="23" spans="1:8" ht="14.25" customHeight="1">
      <c r="A23" s="206" t="s">
        <v>1375</v>
      </c>
      <c r="B23" s="91">
        <v>26</v>
      </c>
      <c r="C23" s="573">
        <f>SUM(C20:C22)</f>
        <v>0</v>
      </c>
      <c r="D23" s="645">
        <f>SUM(D20:D22)</f>
        <v>0</v>
      </c>
      <c r="E23" s="205" t="s">
        <v>1376</v>
      </c>
      <c r="F23" s="91">
        <v>53</v>
      </c>
      <c r="G23" s="573">
        <f>SUM(G20:G22)</f>
        <v>0</v>
      </c>
      <c r="H23" s="645">
        <f>SUM(H20:H22)</f>
        <v>0</v>
      </c>
    </row>
    <row r="24" spans="1:8" ht="14.25" customHeight="1">
      <c r="A24" s="206" t="s">
        <v>652</v>
      </c>
      <c r="B24" s="91">
        <v>32</v>
      </c>
      <c r="C24" s="573">
        <f>SUM(C10,C14,C16,C23)</f>
        <v>0</v>
      </c>
      <c r="D24" s="645">
        <f>SUM(D10,D14,D16,D23)</f>
        <v>0</v>
      </c>
      <c r="E24" s="205" t="s">
        <v>1377</v>
      </c>
      <c r="F24" s="91">
        <v>56</v>
      </c>
      <c r="G24" s="573">
        <f>G15+G23</f>
        <v>0</v>
      </c>
      <c r="H24" s="645">
        <f>H15+H23</f>
        <v>0</v>
      </c>
    </row>
    <row r="25" spans="1:8" ht="14.25" customHeight="1">
      <c r="A25" s="108"/>
      <c r="B25" s="108"/>
      <c r="C25" s="108"/>
      <c r="D25" s="108"/>
      <c r="E25" s="108"/>
      <c r="F25" s="210"/>
      <c r="G25" s="108"/>
      <c r="H25" s="108"/>
    </row>
    <row r="26" spans="1:8" ht="14.25" customHeight="1">
      <c r="A26" s="220" t="s">
        <v>1378</v>
      </c>
      <c r="B26" s="108"/>
      <c r="C26" s="108"/>
      <c r="D26" s="108"/>
      <c r="E26" s="108"/>
      <c r="F26" s="210"/>
      <c r="G26" s="108"/>
      <c r="H26" s="108"/>
    </row>
    <row r="27" spans="1:8" ht="14.25" customHeight="1">
      <c r="A27" s="724" t="s">
        <v>1379</v>
      </c>
      <c r="B27" s="725"/>
      <c r="C27" s="725"/>
      <c r="D27" s="725" t="s">
        <v>1380</v>
      </c>
      <c r="E27" s="725"/>
      <c r="F27" s="210"/>
      <c r="G27" s="108"/>
      <c r="H27" s="108"/>
    </row>
    <row r="28" spans="1:8" ht="14.25" customHeight="1">
      <c r="A28" s="720" t="s">
        <v>1381</v>
      </c>
      <c r="B28" s="721"/>
      <c r="C28" s="721"/>
      <c r="D28" s="722"/>
      <c r="E28" s="722"/>
      <c r="F28" s="210"/>
      <c r="G28" s="108"/>
      <c r="H28" s="108"/>
    </row>
    <row r="29" spans="1:8" ht="14.25" customHeight="1">
      <c r="A29" s="720" t="s">
        <v>1382</v>
      </c>
      <c r="B29" s="721"/>
      <c r="C29" s="721"/>
      <c r="D29" s="722"/>
      <c r="E29" s="722"/>
      <c r="F29" s="210"/>
      <c r="G29" s="108"/>
      <c r="H29" s="108"/>
    </row>
    <row r="30" spans="1:8" ht="14.25" customHeight="1">
      <c r="A30" s="720" t="s">
        <v>1383</v>
      </c>
      <c r="B30" s="721"/>
      <c r="C30" s="721"/>
      <c r="D30" s="722"/>
      <c r="E30" s="722"/>
      <c r="F30" s="210"/>
      <c r="G30" s="108"/>
      <c r="H30" s="108"/>
    </row>
    <row r="31" spans="1:8" ht="14.25" customHeight="1">
      <c r="A31" s="720" t="s">
        <v>1384</v>
      </c>
      <c r="B31" s="721"/>
      <c r="C31" s="721"/>
      <c r="D31" s="722"/>
      <c r="E31" s="722"/>
      <c r="F31" s="210"/>
      <c r="G31" s="108"/>
      <c r="H31" s="108"/>
    </row>
    <row r="32" spans="1:8" ht="14.25" customHeight="1">
      <c r="A32" s="720" t="s">
        <v>1385</v>
      </c>
      <c r="B32" s="721"/>
      <c r="C32" s="721"/>
      <c r="D32" s="722"/>
      <c r="E32" s="722"/>
      <c r="F32" s="210"/>
      <c r="G32" s="108"/>
      <c r="H32" s="108"/>
    </row>
    <row r="33" spans="1:8" ht="14.25" customHeight="1">
      <c r="A33" s="213" t="s">
        <v>1386</v>
      </c>
      <c r="B33" s="219"/>
      <c r="C33" s="219"/>
      <c r="D33" s="722"/>
      <c r="E33" s="722"/>
      <c r="F33" s="210"/>
      <c r="G33" s="108"/>
      <c r="H33" s="108"/>
    </row>
    <row r="34" spans="1:8" ht="14.25" customHeight="1">
      <c r="A34" s="213" t="s">
        <v>1387</v>
      </c>
      <c r="B34" s="219"/>
      <c r="C34" s="219"/>
      <c r="D34" s="722"/>
      <c r="E34" s="722"/>
      <c r="F34" s="210"/>
      <c r="G34" s="108"/>
      <c r="H34" s="108"/>
    </row>
    <row r="35" spans="1:8">
      <c r="A35" s="77"/>
      <c r="B35" s="77"/>
      <c r="C35" s="77"/>
      <c r="D35" s="77"/>
      <c r="E35" s="77"/>
      <c r="G35" s="77"/>
      <c r="H35" s="77"/>
    </row>
    <row r="36" spans="1:8">
      <c r="A36" s="77"/>
      <c r="B36" s="77"/>
      <c r="C36" s="77"/>
      <c r="D36" s="77"/>
      <c r="E36" s="77"/>
      <c r="G36" s="77"/>
      <c r="H36" s="77"/>
    </row>
    <row r="37" spans="1:8">
      <c r="A37" s="77"/>
      <c r="B37" s="77"/>
      <c r="C37" s="77"/>
      <c r="D37" s="77"/>
      <c r="E37" s="77"/>
      <c r="G37" s="77"/>
      <c r="H37" s="77"/>
    </row>
  </sheetData>
  <sheetProtection selectLockedCells="1"/>
  <mergeCells count="16">
    <mergeCell ref="A1:H1"/>
    <mergeCell ref="A27:C27"/>
    <mergeCell ref="D27:E27"/>
    <mergeCell ref="A28:C28"/>
    <mergeCell ref="D28:E28"/>
    <mergeCell ref="D33:E33"/>
    <mergeCell ref="D34:E34"/>
    <mergeCell ref="B2:G2"/>
    <mergeCell ref="A30:C30"/>
    <mergeCell ref="D30:E30"/>
    <mergeCell ref="A31:C31"/>
    <mergeCell ref="D31:E31"/>
    <mergeCell ref="A32:C32"/>
    <mergeCell ref="D32:E32"/>
    <mergeCell ref="A29:C29"/>
    <mergeCell ref="D29:E29"/>
  </mergeCells>
  <phoneticPr fontId="1" type="noConversion"/>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22"/>
  <sheetViews>
    <sheetView workbookViewId="0">
      <selection activeCell="C16" sqref="C16"/>
    </sheetView>
  </sheetViews>
  <sheetFormatPr defaultColWidth="9" defaultRowHeight="14"/>
  <cols>
    <col min="1" max="1" width="23.453125" style="177" bestFit="1" customWidth="1"/>
    <col min="2" max="2" width="9" style="177"/>
    <col min="3" max="3" width="20.6328125" style="177" customWidth="1"/>
    <col min="4" max="4" width="21.453125" style="177" bestFit="1" customWidth="1"/>
    <col min="5" max="5" width="9" style="177"/>
    <col min="6" max="6" width="20.6328125" style="177" customWidth="1"/>
    <col min="7" max="16384" width="9" style="177"/>
  </cols>
  <sheetData>
    <row r="1" spans="1:6" ht="29.15" customHeight="1">
      <c r="A1" s="680" t="s">
        <v>1824</v>
      </c>
      <c r="B1" s="680"/>
      <c r="C1" s="680"/>
      <c r="D1" s="680"/>
      <c r="E1" s="680"/>
      <c r="F1" s="680"/>
    </row>
    <row r="2" spans="1:6" ht="14.25" customHeight="1">
      <c r="A2" s="108"/>
      <c r="B2" s="223"/>
      <c r="C2" s="538" t="s">
        <v>1414</v>
      </c>
      <c r="D2" s="108"/>
      <c r="E2" s="108"/>
      <c r="F2" s="109" t="s">
        <v>1388</v>
      </c>
    </row>
    <row r="3" spans="1:6" ht="14.25" customHeight="1">
      <c r="A3" s="723" t="s">
        <v>1389</v>
      </c>
      <c r="B3" s="723"/>
      <c r="C3" s="108"/>
      <c r="D3" s="108"/>
      <c r="E3" s="108"/>
      <c r="F3" s="109" t="s">
        <v>1390</v>
      </c>
    </row>
    <row r="4" spans="1:6" ht="14.25" customHeight="1">
      <c r="A4" s="206" t="s">
        <v>410</v>
      </c>
      <c r="B4" s="91" t="s">
        <v>1823</v>
      </c>
      <c r="C4" s="91" t="s">
        <v>1391</v>
      </c>
      <c r="D4" s="205" t="s">
        <v>410</v>
      </c>
      <c r="E4" s="91" t="s">
        <v>3</v>
      </c>
      <c r="F4" s="91" t="s">
        <v>1391</v>
      </c>
    </row>
    <row r="5" spans="1:6" ht="14.25" customHeight="1">
      <c r="A5" s="221" t="s">
        <v>1825</v>
      </c>
      <c r="B5" s="91"/>
      <c r="C5" s="573"/>
      <c r="D5" s="222" t="s">
        <v>1392</v>
      </c>
      <c r="E5" s="91"/>
      <c r="F5" s="573"/>
    </row>
    <row r="6" spans="1:6" ht="14.25" customHeight="1">
      <c r="A6" s="206" t="s">
        <v>1393</v>
      </c>
      <c r="B6" s="91">
        <v>1</v>
      </c>
      <c r="C6" s="573"/>
      <c r="D6" s="205" t="s">
        <v>1394</v>
      </c>
      <c r="E6" s="91">
        <v>21</v>
      </c>
      <c r="F6" s="573">
        <f>C16</f>
        <v>0</v>
      </c>
    </row>
    <row r="7" spans="1:6" ht="14.25" customHeight="1">
      <c r="A7" s="206" t="s">
        <v>1395</v>
      </c>
      <c r="B7" s="91">
        <v>2</v>
      </c>
      <c r="C7" s="573"/>
      <c r="D7" s="205" t="s">
        <v>1396</v>
      </c>
      <c r="E7" s="91">
        <v>22</v>
      </c>
      <c r="F7" s="573"/>
    </row>
    <row r="8" spans="1:6" ht="14.25" customHeight="1">
      <c r="A8" s="206" t="s">
        <v>1397</v>
      </c>
      <c r="B8" s="91">
        <v>3</v>
      </c>
      <c r="C8" s="573"/>
      <c r="D8" s="205" t="s">
        <v>1398</v>
      </c>
      <c r="E8" s="91">
        <v>23</v>
      </c>
      <c r="F8" s="573"/>
    </row>
    <row r="9" spans="1:6" ht="14.25" customHeight="1">
      <c r="A9" s="206" t="s">
        <v>1399</v>
      </c>
      <c r="B9" s="91">
        <v>6</v>
      </c>
      <c r="C9" s="573"/>
      <c r="D9" s="205" t="s">
        <v>1400</v>
      </c>
      <c r="E9" s="91">
        <v>26</v>
      </c>
      <c r="F9" s="573">
        <f>F6+F7+F8</f>
        <v>0</v>
      </c>
    </row>
    <row r="10" spans="1:6" ht="14.25" customHeight="1">
      <c r="A10" s="206" t="s">
        <v>1401</v>
      </c>
      <c r="B10" s="91">
        <v>7</v>
      </c>
      <c r="C10" s="573"/>
      <c r="D10" s="205" t="s">
        <v>1402</v>
      </c>
      <c r="E10" s="91">
        <v>27</v>
      </c>
      <c r="F10" s="573"/>
    </row>
    <row r="11" spans="1:6" ht="14.25" customHeight="1">
      <c r="A11" s="206" t="s">
        <v>1403</v>
      </c>
      <c r="B11" s="91">
        <v>10</v>
      </c>
      <c r="C11" s="573">
        <f>C6+C7+C8-C9-C10</f>
        <v>0</v>
      </c>
      <c r="D11" s="205" t="s">
        <v>1404</v>
      </c>
      <c r="E11" s="91">
        <v>28</v>
      </c>
      <c r="F11" s="573"/>
    </row>
    <row r="12" spans="1:6" ht="14.25" customHeight="1">
      <c r="A12" s="206" t="s">
        <v>1405</v>
      </c>
      <c r="B12" s="91">
        <v>11</v>
      </c>
      <c r="C12" s="573"/>
      <c r="D12" s="205" t="s">
        <v>1406</v>
      </c>
      <c r="E12" s="91">
        <v>29</v>
      </c>
      <c r="F12" s="573"/>
    </row>
    <row r="13" spans="1:6" ht="14.25" customHeight="1">
      <c r="A13" s="206" t="s">
        <v>1407</v>
      </c>
      <c r="B13" s="91">
        <v>12</v>
      </c>
      <c r="C13" s="573"/>
      <c r="D13" s="205" t="s">
        <v>1408</v>
      </c>
      <c r="E13" s="91">
        <v>30</v>
      </c>
      <c r="F13" s="573"/>
    </row>
    <row r="14" spans="1:6" ht="14.25" customHeight="1">
      <c r="A14" s="206" t="s">
        <v>1409</v>
      </c>
      <c r="B14" s="91">
        <v>13</v>
      </c>
      <c r="C14" s="573"/>
      <c r="D14" s="205" t="s">
        <v>1410</v>
      </c>
      <c r="E14" s="91">
        <v>31</v>
      </c>
      <c r="F14" s="573"/>
    </row>
    <row r="15" spans="1:6" ht="14.25" customHeight="1">
      <c r="A15" s="206" t="s">
        <v>1411</v>
      </c>
      <c r="B15" s="91">
        <v>16</v>
      </c>
      <c r="C15" s="573"/>
      <c r="D15" s="205"/>
      <c r="E15" s="91"/>
      <c r="F15" s="573"/>
    </row>
    <row r="16" spans="1:6" ht="14.25" customHeight="1">
      <c r="A16" s="206" t="s">
        <v>1412</v>
      </c>
      <c r="B16" s="91">
        <v>20</v>
      </c>
      <c r="C16" s="573">
        <f>C11+C12+C13+C14-C15</f>
        <v>0</v>
      </c>
      <c r="D16" s="205" t="s">
        <v>1413</v>
      </c>
      <c r="E16" s="91">
        <v>35</v>
      </c>
      <c r="F16" s="573">
        <f>F9-F10-F11-F12-F13-F14</f>
        <v>0</v>
      </c>
    </row>
    <row r="17" spans="1:6" ht="13.5" customHeight="1">
      <c r="A17" s="223"/>
      <c r="B17" s="223"/>
      <c r="C17" s="223"/>
      <c r="D17" s="223"/>
      <c r="E17" s="223"/>
      <c r="F17" s="223"/>
    </row>
    <row r="18" spans="1:6" ht="13.5" customHeight="1">
      <c r="A18" s="223"/>
      <c r="B18" s="223"/>
      <c r="C18" s="223"/>
      <c r="D18" s="223"/>
      <c r="E18" s="223"/>
      <c r="F18" s="223"/>
    </row>
    <row r="19" spans="1:6" ht="13.5" customHeight="1"/>
    <row r="20" spans="1:6" ht="13.5" customHeight="1"/>
    <row r="21" spans="1:6" ht="13.5" customHeight="1"/>
    <row r="22" spans="1:6" ht="13.5" customHeight="1"/>
  </sheetData>
  <sheetProtection selectLockedCells="1"/>
  <mergeCells count="2">
    <mergeCell ref="A1:F1"/>
    <mergeCell ref="A3:B3"/>
  </mergeCells>
  <phoneticPr fontId="1" type="noConversion"/>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D7"/>
  <sheetViews>
    <sheetView workbookViewId="0">
      <selection activeCell="D7" sqref="D7"/>
    </sheetView>
  </sheetViews>
  <sheetFormatPr defaultColWidth="9" defaultRowHeight="14.25" customHeight="1"/>
  <cols>
    <col min="1" max="1" width="23.6328125" style="106" customWidth="1"/>
    <col min="2" max="2" width="21.90625" style="106" customWidth="1"/>
    <col min="3" max="3" width="25" style="106" customWidth="1"/>
    <col min="4" max="4" width="33.453125" style="106" customWidth="1"/>
    <col min="5" max="16384" width="9" style="106"/>
  </cols>
  <sheetData>
    <row r="1" spans="1:4" ht="14.25" customHeight="1">
      <c r="A1" s="657" t="s">
        <v>1678</v>
      </c>
      <c r="B1" s="657"/>
      <c r="C1" s="657"/>
      <c r="D1" s="658"/>
    </row>
    <row r="2" spans="1:4" ht="14.25" customHeight="1">
      <c r="A2" s="429" t="s">
        <v>1918</v>
      </c>
      <c r="B2" s="500" t="s">
        <v>2061</v>
      </c>
      <c r="C2" s="381" t="s">
        <v>1915</v>
      </c>
      <c r="D2" s="523" t="s">
        <v>1682</v>
      </c>
    </row>
    <row r="3" spans="1:4" ht="14.25" customHeight="1">
      <c r="A3" s="429" t="s">
        <v>1919</v>
      </c>
      <c r="B3" s="500" t="s">
        <v>1682</v>
      </c>
      <c r="C3" s="382" t="s">
        <v>1920</v>
      </c>
      <c r="D3" s="523" t="s">
        <v>1682</v>
      </c>
    </row>
    <row r="4" spans="1:4" ht="14.25" customHeight="1">
      <c r="A4" s="382" t="s">
        <v>1921</v>
      </c>
      <c r="B4" s="523" t="s">
        <v>1682</v>
      </c>
      <c r="C4" s="382" t="s">
        <v>1922</v>
      </c>
      <c r="D4" s="523" t="s">
        <v>1682</v>
      </c>
    </row>
    <row r="5" spans="1:4" ht="14.25" customHeight="1">
      <c r="A5" s="382" t="s">
        <v>1912</v>
      </c>
      <c r="B5" s="523"/>
      <c r="C5" s="382" t="s">
        <v>1917</v>
      </c>
      <c r="D5" s="523"/>
    </row>
    <row r="6" spans="1:4" ht="14.25" customHeight="1">
      <c r="A6" s="382" t="s">
        <v>1913</v>
      </c>
      <c r="B6" s="523"/>
      <c r="C6" s="386" t="s">
        <v>1738</v>
      </c>
      <c r="D6" s="523" t="s">
        <v>1682</v>
      </c>
    </row>
    <row r="7" spans="1:4" ht="14.25" customHeight="1">
      <c r="A7" s="381" t="s">
        <v>1731</v>
      </c>
      <c r="B7" s="523"/>
      <c r="C7" s="381" t="s">
        <v>1739</v>
      </c>
      <c r="D7" s="523"/>
    </row>
  </sheetData>
  <sheetProtection selectLockedCells="1"/>
  <mergeCells count="1">
    <mergeCell ref="A1:D1"/>
  </mergeCells>
  <phoneticPr fontId="1" type="noConversion"/>
  <dataValidations count="8">
    <dataValidation type="list" allowBlank="1" showInputMessage="1" showErrorMessage="1" sqref="D6">
      <formula1>"请选择,无保留意见,保留意见,无保留意见带强调事项,否定意见,无法表示意见"</formula1>
    </dataValidation>
    <dataValidation type="list" allowBlank="1" showInputMessage="1" showErrorMessage="1" sqref="B2">
      <formula1>"请选择,中央企业集团,上市公司,其它公司"</formula1>
    </dataValidation>
    <dataValidation type="list" allowBlank="1" showInputMessage="1" showErrorMessage="1" sqref="D2">
      <formula1>"请选择,年度,季度,按月份"</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3">
      <formula1>"请选择,一季度,二季度,三季度,四季度"</formula1>
    </dataValidation>
    <dataValidation type="list" allowBlank="1" showInputMessage="1" showErrorMessage="1" sqref="B4 D4">
      <formula1>"请选择,一月,二月,三月,四月,五月,六月,七月,八月,九月,十月,十一月,十二月"</formula1>
    </dataValidation>
    <dataValidation type="whole" operator="notEqual" allowBlank="1" showInputMessage="1" showErrorMessage="1" error="请输入整数" sqref="B5">
      <formula1>-99999999</formula1>
    </dataValidation>
    <dataValidation type="whole" operator="notEqual" allowBlank="1" showInputMessage="1" showErrorMessage="1" error="请输入整数" sqref="D5">
      <formula1>-99999</formula1>
    </dataValidation>
  </dataValidations>
  <pageMargins left="0.7" right="0.7" top="0.75" bottom="0.75" header="0.3" footer="0.3"/>
  <pageSetup paperSize="9" orientation="portrait" horizontalDpi="180" verticalDpi="18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38"/>
  <sheetViews>
    <sheetView topLeftCell="A13" workbookViewId="0">
      <selection activeCell="F12" sqref="F12:F13"/>
    </sheetView>
  </sheetViews>
  <sheetFormatPr defaultColWidth="9" defaultRowHeight="14.5" customHeight="1"/>
  <cols>
    <col min="1" max="1" width="33.26953125" style="129" bestFit="1" customWidth="1"/>
    <col min="2" max="2" width="20.6328125" style="128" customWidth="1"/>
    <col min="3" max="3" width="20.6328125" style="129" customWidth="1"/>
    <col min="4" max="4" width="20.90625" style="87" customWidth="1"/>
    <col min="5" max="6" width="20.6328125" style="87" customWidth="1"/>
    <col min="7" max="16384" width="9" style="87"/>
  </cols>
  <sheetData>
    <row r="1" spans="1:6" ht="29.15" customHeight="1">
      <c r="A1" s="686" t="s">
        <v>1671</v>
      </c>
      <c r="B1" s="686"/>
      <c r="C1" s="686"/>
      <c r="D1" s="686"/>
      <c r="E1" s="686"/>
      <c r="F1" s="686"/>
    </row>
    <row r="2" spans="1:6" ht="14.25" customHeight="1">
      <c r="A2" s="687" t="s">
        <v>715</v>
      </c>
      <c r="B2" s="687"/>
      <c r="C2" s="687"/>
      <c r="D2" s="687"/>
      <c r="E2" s="687"/>
      <c r="F2" s="687"/>
    </row>
    <row r="3" spans="1:6" ht="14.25" customHeight="1">
      <c r="A3" s="539" t="s">
        <v>716</v>
      </c>
      <c r="D3" s="455"/>
      <c r="E3" s="734" t="s">
        <v>717</v>
      </c>
      <c r="F3" s="708"/>
    </row>
    <row r="4" spans="1:6" ht="14.25" customHeight="1">
      <c r="A4" s="130" t="s">
        <v>506</v>
      </c>
      <c r="B4" s="131" t="s">
        <v>1415</v>
      </c>
      <c r="C4" s="132" t="s">
        <v>1128</v>
      </c>
      <c r="D4" s="130" t="s">
        <v>1416</v>
      </c>
      <c r="E4" s="131" t="s">
        <v>1415</v>
      </c>
      <c r="F4" s="132" t="s">
        <v>1128</v>
      </c>
    </row>
    <row r="5" spans="1:6" ht="14.25" customHeight="1">
      <c r="A5" s="133" t="s">
        <v>720</v>
      </c>
      <c r="B5" s="639"/>
      <c r="C5" s="602"/>
      <c r="D5" s="133" t="s">
        <v>1417</v>
      </c>
      <c r="E5" s="583"/>
      <c r="F5" s="583"/>
    </row>
    <row r="6" spans="1:6" ht="14.25" customHeight="1">
      <c r="A6" s="135" t="s">
        <v>722</v>
      </c>
      <c r="B6" s="639"/>
      <c r="C6" s="602"/>
      <c r="D6" s="134" t="s">
        <v>893</v>
      </c>
      <c r="E6" s="583"/>
      <c r="F6" s="583"/>
    </row>
    <row r="7" spans="1:6" ht="14.25" customHeight="1">
      <c r="A7" s="136" t="s">
        <v>1418</v>
      </c>
      <c r="B7" s="639"/>
      <c r="C7" s="602"/>
      <c r="D7" s="134" t="s">
        <v>1419</v>
      </c>
      <c r="E7" s="583"/>
      <c r="F7" s="583"/>
    </row>
    <row r="8" spans="1:6" ht="14.25" customHeight="1">
      <c r="A8" s="135" t="s">
        <v>902</v>
      </c>
      <c r="B8" s="639"/>
      <c r="C8" s="602"/>
      <c r="D8" s="134" t="s">
        <v>1420</v>
      </c>
      <c r="E8" s="583"/>
      <c r="F8" s="583"/>
    </row>
    <row r="9" spans="1:6" ht="14.25" customHeight="1">
      <c r="A9" s="137" t="s">
        <v>734</v>
      </c>
      <c r="B9" s="639">
        <f>SUM(B6:B8)</f>
        <v>0</v>
      </c>
      <c r="C9" s="639">
        <f>SUM(C6:C8)</f>
        <v>0</v>
      </c>
      <c r="D9" s="134" t="s">
        <v>1421</v>
      </c>
      <c r="E9" s="583"/>
      <c r="F9" s="583"/>
    </row>
    <row r="10" spans="1:6" ht="14.25" customHeight="1">
      <c r="A10" s="135"/>
      <c r="B10" s="639"/>
      <c r="C10" s="602"/>
      <c r="D10" s="134" t="s">
        <v>1422</v>
      </c>
      <c r="E10" s="583"/>
      <c r="F10" s="583"/>
    </row>
    <row r="11" spans="1:6" ht="14.25" customHeight="1">
      <c r="A11" s="137" t="s">
        <v>1423</v>
      </c>
      <c r="B11" s="639"/>
      <c r="C11" s="602"/>
      <c r="D11" s="137" t="s">
        <v>1424</v>
      </c>
      <c r="E11" s="583">
        <f>SUM(E6:E10)</f>
        <v>0</v>
      </c>
      <c r="F11" s="583">
        <f>SUM(F6:F10)</f>
        <v>0</v>
      </c>
    </row>
    <row r="12" spans="1:6" ht="14.25" customHeight="1">
      <c r="A12" s="135" t="s">
        <v>1425</v>
      </c>
      <c r="B12" s="639"/>
      <c r="C12" s="602"/>
      <c r="D12" s="134"/>
      <c r="E12" s="583"/>
      <c r="F12" s="583"/>
    </row>
    <row r="13" spans="1:6" ht="14.25" customHeight="1">
      <c r="A13" s="135" t="s">
        <v>1426</v>
      </c>
      <c r="B13" s="639"/>
      <c r="C13" s="602"/>
      <c r="D13" s="134"/>
      <c r="E13" s="583"/>
      <c r="F13" s="583"/>
    </row>
    <row r="14" spans="1:6" ht="14.25" customHeight="1">
      <c r="A14" s="135" t="s">
        <v>1427</v>
      </c>
      <c r="B14" s="639"/>
      <c r="C14" s="602"/>
      <c r="D14" s="134" t="s">
        <v>1428</v>
      </c>
      <c r="E14" s="583"/>
      <c r="F14" s="583"/>
    </row>
    <row r="15" spans="1:6" ht="14.25" customHeight="1">
      <c r="A15" s="135" t="s">
        <v>1429</v>
      </c>
      <c r="B15" s="639"/>
      <c r="C15" s="602"/>
      <c r="D15" s="135" t="s">
        <v>1430</v>
      </c>
      <c r="E15" s="583"/>
      <c r="F15" s="583"/>
    </row>
    <row r="16" spans="1:6" ht="14.25" customHeight="1">
      <c r="A16" s="137" t="s">
        <v>1431</v>
      </c>
      <c r="B16" s="639">
        <f>B14+B15</f>
        <v>0</v>
      </c>
      <c r="C16" s="639">
        <f>C14+C15</f>
        <v>0</v>
      </c>
      <c r="D16" s="135" t="s">
        <v>1432</v>
      </c>
      <c r="E16" s="583"/>
      <c r="F16" s="583"/>
    </row>
    <row r="17" spans="1:6" ht="14.25" customHeight="1">
      <c r="A17" s="106" t="s">
        <v>1366</v>
      </c>
      <c r="B17" s="639"/>
      <c r="C17" s="602"/>
      <c r="D17" s="133" t="s">
        <v>1433</v>
      </c>
      <c r="E17" s="583">
        <f>E15+E16</f>
        <v>0</v>
      </c>
      <c r="F17" s="583">
        <f>F15+F16</f>
        <v>0</v>
      </c>
    </row>
    <row r="18" spans="1:6" ht="14.25" customHeight="1">
      <c r="A18" s="135" t="s">
        <v>1434</v>
      </c>
      <c r="B18" s="639"/>
      <c r="C18" s="602"/>
      <c r="D18" s="133" t="s">
        <v>920</v>
      </c>
      <c r="E18" s="583">
        <f>E11+E17</f>
        <v>0</v>
      </c>
      <c r="F18" s="583">
        <f>F11+F17</f>
        <v>0</v>
      </c>
    </row>
    <row r="19" spans="1:6" ht="14.25" customHeight="1">
      <c r="A19" s="135" t="s">
        <v>1435</v>
      </c>
      <c r="B19" s="639"/>
      <c r="C19" s="602"/>
      <c r="D19" s="134"/>
      <c r="E19" s="583"/>
      <c r="F19" s="583"/>
    </row>
    <row r="20" spans="1:6" ht="14.25" customHeight="1">
      <c r="A20" s="224" t="s">
        <v>1436</v>
      </c>
      <c r="B20" s="639">
        <f>B18-B19</f>
        <v>0</v>
      </c>
      <c r="C20" s="639">
        <f>C18-C19</f>
        <v>0</v>
      </c>
      <c r="D20" s="134" t="s">
        <v>1437</v>
      </c>
      <c r="E20" s="583"/>
      <c r="F20" s="583"/>
    </row>
    <row r="21" spans="1:6" ht="14.25" customHeight="1">
      <c r="A21" s="225" t="s">
        <v>1438</v>
      </c>
      <c r="B21" s="639"/>
      <c r="C21" s="602"/>
      <c r="D21" s="134" t="s">
        <v>1439</v>
      </c>
      <c r="E21" s="583"/>
      <c r="F21" s="583"/>
    </row>
    <row r="22" spans="1:6" ht="14.25" customHeight="1">
      <c r="A22" s="225" t="s">
        <v>1440</v>
      </c>
      <c r="B22" s="639"/>
      <c r="C22" s="602"/>
      <c r="D22" s="134" t="s">
        <v>1441</v>
      </c>
      <c r="E22" s="583"/>
      <c r="F22" s="583"/>
    </row>
    <row r="23" spans="1:6" ht="14.25" customHeight="1">
      <c r="A23" s="225" t="s">
        <v>1442</v>
      </c>
      <c r="B23" s="639"/>
      <c r="C23" s="602"/>
      <c r="D23" s="134" t="s">
        <v>1443</v>
      </c>
      <c r="E23" s="583"/>
      <c r="F23" s="583"/>
    </row>
    <row r="24" spans="1:6" ht="14.25" customHeight="1">
      <c r="A24" s="225" t="s">
        <v>1444</v>
      </c>
      <c r="B24" s="639"/>
      <c r="C24" s="602"/>
      <c r="D24" s="226" t="s">
        <v>1445</v>
      </c>
      <c r="E24" s="583"/>
      <c r="F24" s="583"/>
    </row>
    <row r="25" spans="1:6" ht="14.25" customHeight="1">
      <c r="A25" s="225" t="s">
        <v>919</v>
      </c>
      <c r="B25" s="639"/>
      <c r="C25" s="602"/>
      <c r="D25" s="226" t="s">
        <v>1446</v>
      </c>
      <c r="E25" s="583"/>
      <c r="F25" s="583"/>
    </row>
    <row r="26" spans="1:6" ht="14.25" customHeight="1">
      <c r="A26" s="227" t="s">
        <v>1447</v>
      </c>
      <c r="B26" s="639">
        <f>B12+B16+B20+B21+B22+B25</f>
        <v>0</v>
      </c>
      <c r="C26" s="639">
        <f>C12+C16+C20+C21+C22+C25</f>
        <v>0</v>
      </c>
      <c r="D26" s="137" t="s">
        <v>1448</v>
      </c>
      <c r="E26" s="583">
        <f>SUM(E21:E25)</f>
        <v>0</v>
      </c>
      <c r="F26" s="583">
        <f>SUM(F21:F25)</f>
        <v>0</v>
      </c>
    </row>
    <row r="27" spans="1:6" ht="14.25" customHeight="1">
      <c r="A27" s="227" t="s">
        <v>616</v>
      </c>
      <c r="B27" s="639">
        <f>B9+B26</f>
        <v>0</v>
      </c>
      <c r="C27" s="639">
        <f>C9+C26</f>
        <v>0</v>
      </c>
      <c r="D27" s="140" t="s">
        <v>1449</v>
      </c>
      <c r="E27" s="583">
        <f>E18+E26</f>
        <v>0</v>
      </c>
      <c r="F27" s="583">
        <f>F18+F26</f>
        <v>0</v>
      </c>
    </row>
    <row r="28" spans="1:6" ht="14.25" customHeight="1">
      <c r="A28" s="228"/>
      <c r="B28" s="228"/>
      <c r="C28" s="229"/>
    </row>
    <row r="29" spans="1:6" ht="14.25" customHeight="1">
      <c r="A29" s="230"/>
      <c r="B29" s="231"/>
      <c r="C29" s="231"/>
    </row>
    <row r="30" spans="1:6" ht="14.25" customHeight="1">
      <c r="A30" s="232" t="s">
        <v>1450</v>
      </c>
      <c r="C30" s="87"/>
    </row>
    <row r="31" spans="1:6" ht="14.25" customHeight="1">
      <c r="A31" s="233" t="s">
        <v>410</v>
      </c>
      <c r="B31" s="233" t="s">
        <v>1391</v>
      </c>
      <c r="C31" s="87"/>
    </row>
    <row r="32" spans="1:6" ht="14.25" customHeight="1">
      <c r="A32" s="234" t="s">
        <v>1451</v>
      </c>
      <c r="B32" s="640"/>
      <c r="C32" s="87"/>
    </row>
    <row r="33" spans="1:3" ht="14.25" customHeight="1">
      <c r="A33" s="234" t="s">
        <v>1383</v>
      </c>
      <c r="B33" s="640"/>
      <c r="C33" s="87"/>
    </row>
    <row r="34" spans="1:3" ht="14.25" customHeight="1">
      <c r="A34" s="234" t="s">
        <v>1452</v>
      </c>
      <c r="B34" s="640"/>
      <c r="C34" s="87"/>
    </row>
    <row r="35" spans="1:3" ht="14.25" customHeight="1">
      <c r="A35" s="234" t="s">
        <v>1384</v>
      </c>
      <c r="B35" s="640"/>
      <c r="C35" s="87"/>
    </row>
    <row r="36" spans="1:3" ht="14.25" customHeight="1">
      <c r="A36" s="234" t="s">
        <v>1453</v>
      </c>
      <c r="B36" s="640"/>
      <c r="C36" s="87"/>
    </row>
    <row r="37" spans="1:3" ht="14.25" customHeight="1">
      <c r="A37" s="234" t="s">
        <v>1387</v>
      </c>
      <c r="B37" s="640"/>
      <c r="C37" s="87"/>
    </row>
    <row r="38" spans="1:3" ht="14.25" customHeight="1">
      <c r="A38" s="234" t="s">
        <v>1454</v>
      </c>
      <c r="B38" s="640"/>
      <c r="C38" s="87"/>
    </row>
  </sheetData>
  <sheetProtection selectLockedCells="1"/>
  <protectedRanges>
    <protectedRange sqref="A3" name="区域2"/>
    <protectedRange sqref="B28:C28" name="区域3"/>
  </protectedRanges>
  <mergeCells count="3">
    <mergeCell ref="A1:F1"/>
    <mergeCell ref="A2:F2"/>
    <mergeCell ref="E3:F3"/>
  </mergeCells>
  <phoneticPr fontId="1" type="noConversion"/>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F18"/>
  <sheetViews>
    <sheetView workbookViewId="0">
      <selection activeCell="E17" sqref="E17"/>
    </sheetView>
  </sheetViews>
  <sheetFormatPr defaultColWidth="9" defaultRowHeight="14.5" customHeight="1"/>
  <cols>
    <col min="1" max="1" width="12.36328125" style="229" customWidth="1"/>
    <col min="2" max="2" width="13.6328125" style="229" customWidth="1"/>
    <col min="3" max="3" width="20.6328125" style="229" customWidth="1"/>
    <col min="4" max="4" width="11.7265625" style="229" customWidth="1"/>
    <col min="5" max="5" width="16.90625" style="229" customWidth="1"/>
    <col min="6" max="6" width="20.6328125" style="229" customWidth="1"/>
    <col min="7" max="16384" width="9" style="229"/>
  </cols>
  <sheetData>
    <row r="1" spans="1:6" s="235" customFormat="1" ht="29.15" customHeight="1">
      <c r="A1" s="735" t="s">
        <v>1826</v>
      </c>
      <c r="B1" s="735"/>
      <c r="C1" s="735"/>
      <c r="D1" s="735"/>
      <c r="E1" s="735"/>
      <c r="F1" s="735"/>
    </row>
    <row r="2" spans="1:6" s="235" customFormat="1" ht="14.25" customHeight="1">
      <c r="A2" s="736" t="s">
        <v>1455</v>
      </c>
      <c r="B2" s="736"/>
      <c r="C2" s="736"/>
      <c r="D2" s="736"/>
      <c r="E2" s="736"/>
      <c r="F2" s="736"/>
    </row>
    <row r="3" spans="1:6" s="235" customFormat="1" ht="14.25" customHeight="1">
      <c r="A3" s="556" t="s">
        <v>1</v>
      </c>
      <c r="B3" s="483"/>
      <c r="C3" s="483"/>
      <c r="D3" s="483"/>
      <c r="E3" s="483"/>
      <c r="F3" s="454" t="s">
        <v>755</v>
      </c>
    </row>
    <row r="4" spans="1:6" s="235" customFormat="1" ht="14.25" customHeight="1">
      <c r="A4" s="236" t="s">
        <v>1475</v>
      </c>
      <c r="B4" s="236"/>
      <c r="C4" s="237" t="s">
        <v>1456</v>
      </c>
      <c r="D4" s="236" t="s">
        <v>1475</v>
      </c>
      <c r="E4" s="238"/>
      <c r="F4" s="237" t="s">
        <v>1456</v>
      </c>
    </row>
    <row r="5" spans="1:6" s="235" customFormat="1" ht="14.25" customHeight="1">
      <c r="A5" s="239" t="s">
        <v>1457</v>
      </c>
      <c r="B5" s="239"/>
      <c r="C5" s="610"/>
      <c r="D5" s="240" t="s">
        <v>1458</v>
      </c>
      <c r="E5" s="241"/>
      <c r="F5" s="641"/>
    </row>
    <row r="6" spans="1:6" s="235" customFormat="1" ht="14.25" customHeight="1">
      <c r="A6" s="239" t="s">
        <v>1459</v>
      </c>
      <c r="B6" s="242"/>
      <c r="C6" s="610"/>
      <c r="D6" s="239" t="s">
        <v>1460</v>
      </c>
      <c r="E6" s="243"/>
      <c r="F6" s="641">
        <f>C13</f>
        <v>0</v>
      </c>
    </row>
    <row r="7" spans="1:6" ht="14.25" customHeight="1">
      <c r="A7" s="244"/>
      <c r="B7" s="245" t="s">
        <v>1461</v>
      </c>
      <c r="C7" s="610"/>
      <c r="D7" s="246"/>
      <c r="E7" s="243" t="s">
        <v>1462</v>
      </c>
      <c r="F7" s="641"/>
    </row>
    <row r="8" spans="1:6" ht="14.25" customHeight="1">
      <c r="A8" s="236"/>
      <c r="B8" s="245" t="s">
        <v>1463</v>
      </c>
      <c r="C8" s="610"/>
      <c r="D8" s="247"/>
      <c r="E8" s="243" t="s">
        <v>1464</v>
      </c>
      <c r="F8" s="641"/>
    </row>
    <row r="9" spans="1:6" ht="14.25" customHeight="1">
      <c r="A9" s="244"/>
      <c r="B9" s="245" t="s">
        <v>1465</v>
      </c>
      <c r="C9" s="610"/>
      <c r="D9" s="239" t="s">
        <v>1466</v>
      </c>
      <c r="E9" s="243"/>
      <c r="F9" s="641">
        <f>F6+F7+F8</f>
        <v>0</v>
      </c>
    </row>
    <row r="10" spans="1:6" ht="14.25" customHeight="1">
      <c r="A10" s="239" t="s">
        <v>1467</v>
      </c>
      <c r="B10" s="239"/>
      <c r="C10" s="610">
        <f>C6+C7-C8-C9</f>
        <v>0</v>
      </c>
      <c r="D10" s="247"/>
      <c r="E10" s="243" t="s">
        <v>1468</v>
      </c>
      <c r="F10" s="641"/>
    </row>
    <row r="11" spans="1:6" ht="14.25" customHeight="1">
      <c r="A11" s="244"/>
      <c r="B11" s="245" t="s">
        <v>1469</v>
      </c>
      <c r="C11" s="610"/>
      <c r="D11" s="248"/>
      <c r="E11" s="243" t="s">
        <v>1470</v>
      </c>
      <c r="F11" s="641"/>
    </row>
    <row r="12" spans="1:6" ht="14.25" customHeight="1">
      <c r="A12" s="244"/>
      <c r="B12" s="245" t="s">
        <v>1471</v>
      </c>
      <c r="C12" s="610"/>
      <c r="D12" s="248"/>
      <c r="E12" s="243" t="s">
        <v>1472</v>
      </c>
      <c r="F12" s="641"/>
    </row>
    <row r="13" spans="1:6" ht="14.25" customHeight="1">
      <c r="A13" s="239" t="s">
        <v>1473</v>
      </c>
      <c r="B13" s="239"/>
      <c r="C13" s="610">
        <f>C10+C11-C12</f>
        <v>0</v>
      </c>
      <c r="D13" s="249" t="s">
        <v>1474</v>
      </c>
      <c r="E13" s="151"/>
      <c r="F13" s="641">
        <f>F9-F10-F11-F12</f>
        <v>0</v>
      </c>
    </row>
    <row r="14" spans="1:6" ht="14.5" customHeight="1">
      <c r="A14" s="250"/>
      <c r="B14" s="250"/>
      <c r="C14" s="250"/>
      <c r="D14" s="251"/>
      <c r="F14" s="252"/>
    </row>
    <row r="15" spans="1:6" ht="14.5" customHeight="1">
      <c r="A15" s="252"/>
      <c r="B15" s="252"/>
      <c r="C15" s="252"/>
      <c r="D15" s="252"/>
      <c r="E15" s="252"/>
    </row>
    <row r="16" spans="1:6" ht="14.5" customHeight="1">
      <c r="A16" s="252"/>
      <c r="B16" s="252"/>
      <c r="C16" s="252"/>
      <c r="D16" s="252"/>
      <c r="E16" s="252"/>
    </row>
    <row r="17" spans="1:5" ht="14.5" customHeight="1">
      <c r="A17" s="252"/>
      <c r="B17" s="252"/>
      <c r="C17" s="252"/>
      <c r="D17" s="252"/>
      <c r="E17" s="252"/>
    </row>
    <row r="18" spans="1:5" ht="14.5" customHeight="1">
      <c r="A18" s="252"/>
      <c r="B18" s="252"/>
      <c r="C18" s="252"/>
      <c r="D18" s="252"/>
      <c r="E18" s="252"/>
    </row>
  </sheetData>
  <sheetProtection selectLockedCells="1"/>
  <protectedRanges>
    <protectedRange sqref="A14:E14" name="区域3"/>
    <protectedRange sqref="A3:B3" name="区域1"/>
  </protectedRanges>
  <mergeCells count="2">
    <mergeCell ref="A1:F1"/>
    <mergeCell ref="A2:F2"/>
  </mergeCells>
  <phoneticPr fontId="1"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D4"/>
  <sheetViews>
    <sheetView workbookViewId="0">
      <selection activeCell="B2" sqref="B2"/>
    </sheetView>
  </sheetViews>
  <sheetFormatPr defaultColWidth="9" defaultRowHeight="14.25" customHeight="1"/>
  <cols>
    <col min="1" max="1" width="20" style="106" customWidth="1"/>
    <col min="2" max="2" width="22.7265625" style="106" customWidth="1"/>
    <col min="3" max="3" width="18.90625" style="106" customWidth="1"/>
    <col min="4" max="4" width="25.26953125" style="106" customWidth="1"/>
    <col min="5" max="16384" width="9" style="106"/>
  </cols>
  <sheetData>
    <row r="1" spans="1:4" ht="14.25" customHeight="1">
      <c r="A1" s="737" t="s">
        <v>1678</v>
      </c>
      <c r="B1" s="738"/>
      <c r="C1" s="738"/>
      <c r="D1" s="724"/>
    </row>
    <row r="2" spans="1:4" ht="14.25" customHeight="1">
      <c r="A2" s="505" t="s">
        <v>1870</v>
      </c>
      <c r="B2" s="504" t="s">
        <v>2047</v>
      </c>
      <c r="C2" s="505" t="s">
        <v>1872</v>
      </c>
      <c r="D2" s="504" t="s">
        <v>2047</v>
      </c>
    </row>
    <row r="3" spans="1:4" ht="14.25" customHeight="1">
      <c r="A3" s="505" t="s">
        <v>1871</v>
      </c>
      <c r="B3" s="504" t="s">
        <v>1682</v>
      </c>
      <c r="C3" s="505" t="s">
        <v>2048</v>
      </c>
      <c r="D3" s="573"/>
    </row>
    <row r="4" spans="1:4" ht="14.25" customHeight="1">
      <c r="A4" s="505" t="s">
        <v>2049</v>
      </c>
      <c r="B4" s="573"/>
      <c r="C4" s="505" t="s">
        <v>2050</v>
      </c>
      <c r="D4" s="573"/>
    </row>
  </sheetData>
  <sheetProtection selectLockedCells="1"/>
  <mergeCells count="1">
    <mergeCell ref="A1:D1"/>
  </mergeCells>
  <phoneticPr fontId="1" type="noConversion"/>
  <dataValidations count="6">
    <dataValidation type="list" allowBlank="1" showInputMessage="1" showErrorMessage="1" sqref="B2">
      <formula1>"请选择,增资,减资,资本不变"</formula1>
    </dataValidation>
    <dataValidation type="list" allowBlank="1" showInputMessage="1" showErrorMessage="1" prompt="“新设”适用于企业新设成立，包括首次验资以及分资出资验资；“变更”适用于资本发生变化，若评价指标1选择增资或减资，那么验资类型都属于变更；“其他”适用于资本不发生变化的情况。" sqref="D2">
      <formula1>"请选择,新设,变更,其他"</formula1>
    </dataValidation>
    <dataValidation type="list" allowBlank="1" showInputMessage="1" showErrorMessage="1" prompt="“非货币”和“含货币”两种情况的不同在于，若全部为非货币出资，则选择“非货币”，若既包括货币出资，又包括非货币出资，则选择“含货币”。" sqref="B3">
      <formula1>"请选择,仅货币,非货币,含货币"</formula1>
    </dataValidation>
    <dataValidation type="decimal" operator="notEqual" allowBlank="1" showInputMessage="1" showErrorMessage="1" error="金额输入格式不正确！" sqref="D3">
      <formula1>-99999999999999</formula1>
    </dataValidation>
    <dataValidation type="decimal" operator="notEqual" allowBlank="1" showInputMessage="1" showErrorMessage="1" error="金额输入格式不正确！" sqref="D4">
      <formula1>-9999999999999</formula1>
    </dataValidation>
    <dataValidation type="decimal" operator="notEqual" allowBlank="1" showInputMessage="1" showErrorMessage="1" error="金额输入格式不正确！" sqref="B4">
      <formula1>-9999999993</formula1>
    </dataValidation>
  </dataValidations>
  <pageMargins left="0.7" right="0.7" top="0.75" bottom="0.75" header="0.3" footer="0.3"/>
  <pageSetup paperSize="9" orientation="portrait" horizontalDpi="180" verticalDpi="180"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D4"/>
  <sheetViews>
    <sheetView workbookViewId="0">
      <selection activeCell="D4" sqref="D4"/>
    </sheetView>
  </sheetViews>
  <sheetFormatPr defaultColWidth="9" defaultRowHeight="14.25" customHeight="1"/>
  <cols>
    <col min="1" max="1" width="23.6328125" style="106" customWidth="1"/>
    <col min="2" max="2" width="21.90625" style="106" customWidth="1"/>
    <col min="3" max="3" width="19.90625" style="106" customWidth="1"/>
    <col min="4" max="4" width="25.6328125" style="106" customWidth="1"/>
    <col min="5" max="16384" width="9" style="106"/>
  </cols>
  <sheetData>
    <row r="1" spans="1:4" ht="14.25" customHeight="1">
      <c r="A1" s="657" t="s">
        <v>1678</v>
      </c>
      <c r="B1" s="657"/>
      <c r="C1" s="657"/>
      <c r="D1" s="658"/>
    </row>
    <row r="2" spans="1:4" ht="14.25" customHeight="1">
      <c r="A2" s="386" t="s">
        <v>2028</v>
      </c>
      <c r="B2" s="489"/>
      <c r="C2" s="381" t="s">
        <v>1756</v>
      </c>
      <c r="D2" s="501"/>
    </row>
    <row r="3" spans="1:4" ht="14.25" customHeight="1">
      <c r="A3" s="386" t="s">
        <v>2029</v>
      </c>
      <c r="B3" s="500" t="s">
        <v>1682</v>
      </c>
      <c r="C3" s="382" t="s">
        <v>2032</v>
      </c>
      <c r="D3" s="573"/>
    </row>
    <row r="4" spans="1:4" ht="14.25" customHeight="1">
      <c r="A4" s="382" t="s">
        <v>2030</v>
      </c>
      <c r="B4" s="573"/>
      <c r="C4" s="382" t="s">
        <v>2033</v>
      </c>
      <c r="D4" s="573"/>
    </row>
  </sheetData>
  <sheetProtection selectLockedCells="1"/>
  <mergeCells count="1">
    <mergeCell ref="A1:D1"/>
  </mergeCells>
  <phoneticPr fontId="1" type="noConversion"/>
  <dataValidations count="6">
    <dataValidation allowBlank="1" showInputMessage="1" showErrorMessage="1" prompt="(任职期末净资产-任职期初净资产)÷任职期初净资产×100%（如期初负数也按此计算）" sqref="D4"/>
    <dataValidation type="decimal" operator="notEqual" allowBlank="1" showInputMessage="1" showErrorMessage="1" prompt="填报任职期末资产负债表净资产金额" sqref="B4">
      <formula1>-999999999999999000</formula1>
    </dataValidation>
    <dataValidation allowBlank="1" showInputMessage="1" showErrorMessage="1" prompt="根据委托方提供的任职文件、其他资料或签订的业务约定书分析填报" sqref="B2"/>
    <dataValidation type="decimal" allowBlank="1" showInputMessage="1" showErrorMessage="1" errorTitle="任职期初净资产格式不正确" error="输入的金额格式不正确" promptTitle="填报任职期初资产负债表净资产金额" prompt="填报任职期初资产负债表净资产金额" sqref="D3">
      <formula1>-999999999999999000</formula1>
      <formula2>9.99999999999999E+22</formula2>
    </dataValidation>
    <dataValidation operator="notEqual" allowBlank="1" showInputMessage="1" showErrorMessage="1" errorTitle="日期输入格式错误" error="审计期间格式错误，请输入如“2017-01-01”格式的时间" prompt="根据委托方提供的任职文件、其他资料或签订的业务约定书分析填报" sqref="D2"/>
    <dataValidation type="list" allowBlank="1" showInputMessage="1" showErrorMessage="1" sqref="B3">
      <formula1>"请选择,是,否"</formula1>
    </dataValidation>
  </dataValidation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D4"/>
  <sheetViews>
    <sheetView workbookViewId="0">
      <selection activeCell="B4" sqref="B4"/>
    </sheetView>
  </sheetViews>
  <sheetFormatPr defaultColWidth="9" defaultRowHeight="14.25" customHeight="1"/>
  <cols>
    <col min="1" max="1" width="23.6328125" style="106" customWidth="1"/>
    <col min="2" max="2" width="21.90625" style="106" customWidth="1"/>
    <col min="3" max="3" width="19.90625" style="106" customWidth="1"/>
    <col min="4" max="4" width="24.08984375" style="106" customWidth="1"/>
    <col min="5" max="16384" width="9" style="106"/>
  </cols>
  <sheetData>
    <row r="1" spans="1:4" ht="14.25" customHeight="1">
      <c r="A1" s="657" t="s">
        <v>1678</v>
      </c>
      <c r="B1" s="657"/>
      <c r="C1" s="657"/>
      <c r="D1" s="658"/>
    </row>
    <row r="2" spans="1:4" ht="14.25" customHeight="1">
      <c r="A2" s="386" t="s">
        <v>2028</v>
      </c>
      <c r="B2" s="489"/>
      <c r="C2" s="381" t="s">
        <v>2031</v>
      </c>
      <c r="D2" s="501"/>
    </row>
    <row r="3" spans="1:4" ht="14.25" customHeight="1">
      <c r="A3" s="386" t="s">
        <v>2029</v>
      </c>
      <c r="B3" s="500" t="s">
        <v>2128</v>
      </c>
      <c r="C3" s="382" t="s">
        <v>2032</v>
      </c>
      <c r="D3" s="575"/>
    </row>
    <row r="4" spans="1:4" ht="14.25" customHeight="1">
      <c r="A4" s="382" t="s">
        <v>2030</v>
      </c>
      <c r="B4" s="573"/>
      <c r="C4" s="382" t="s">
        <v>2033</v>
      </c>
      <c r="D4" s="575"/>
    </row>
  </sheetData>
  <sheetProtection selectLockedCells="1"/>
  <mergeCells count="1">
    <mergeCell ref="A1:D1"/>
  </mergeCells>
  <phoneticPr fontId="1" type="noConversion"/>
  <dataValidations count="6">
    <dataValidation type="list" allowBlank="1" showInputMessage="1" showErrorMessage="1" sqref="B3">
      <formula1>"请选择,是,否"</formula1>
    </dataValidation>
    <dataValidation operator="notEqual" allowBlank="1" showInputMessage="1" showErrorMessage="1" errorTitle="日期输入格式错误" error="审计期间格式错误，请输入如“2017-01-01”格式的时间" prompt="根据委托方提供的任职文件、其他资料或签订的业务约定书分析填报" sqref="D2"/>
    <dataValidation type="decimal" allowBlank="1" showInputMessage="1" showErrorMessage="1" errorTitle="任职期初净资产格式不正确" error="输入的金额格式不正确" promptTitle="填报任职期初资产负债表净资产金额" prompt="填报任职期初资产负债表净资产金额" sqref="D3">
      <formula1>-999999999999999000</formula1>
      <formula2>9.99999999999999E+22</formula2>
    </dataValidation>
    <dataValidation allowBlank="1" showInputMessage="1" showErrorMessage="1" prompt="根据委托方提供的任职文件、其他资料或签订的业务约定书分析填报" sqref="B2"/>
    <dataValidation type="decimal" operator="notEqual" allowBlank="1" showInputMessage="1" showErrorMessage="1" prompt="填报任职期末资产负债表净资产金额" sqref="B4">
      <formula1>-999999999999999000</formula1>
    </dataValidation>
    <dataValidation allowBlank="1" showInputMessage="1" showErrorMessage="1" prompt="(任职期末净资产-任职期初净资产)÷任职期初净资产×100%（如期初负数也按此计算）" sqref="D4"/>
  </dataValidations>
  <pageMargins left="0.7" right="0.7" top="0.75" bottom="0.75" header="0.3" footer="0.3"/>
  <pageSetup paperSize="9" orientation="portrait" horizontalDpi="180" verticalDpi="180"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D5"/>
  <sheetViews>
    <sheetView workbookViewId="0">
      <selection activeCell="B3" sqref="B3"/>
    </sheetView>
  </sheetViews>
  <sheetFormatPr defaultColWidth="9" defaultRowHeight="14.25" customHeight="1"/>
  <cols>
    <col min="1" max="1" width="18.90625" style="106" customWidth="1"/>
    <col min="2" max="2" width="21.90625" style="106" customWidth="1"/>
    <col min="3" max="3" width="18.08984375" style="106" customWidth="1"/>
    <col min="4" max="4" width="24" style="106" customWidth="1"/>
    <col min="5" max="16384" width="9" style="106"/>
  </cols>
  <sheetData>
    <row r="1" spans="1:4" ht="14.25" customHeight="1">
      <c r="A1" s="657" t="s">
        <v>1678</v>
      </c>
      <c r="B1" s="657"/>
      <c r="C1" s="657"/>
      <c r="D1" s="658"/>
    </row>
    <row r="2" spans="1:4" ht="14.25" customHeight="1">
      <c r="A2" s="386" t="s">
        <v>2021</v>
      </c>
      <c r="B2" s="485"/>
    </row>
    <row r="3" spans="1:4" ht="14.25" customHeight="1">
      <c r="A3" s="381" t="s">
        <v>2025</v>
      </c>
      <c r="B3" s="573"/>
      <c r="C3" s="382" t="s">
        <v>2023</v>
      </c>
      <c r="D3" s="573"/>
    </row>
    <row r="4" spans="1:4" ht="14.25" customHeight="1">
      <c r="A4" s="386" t="s">
        <v>2022</v>
      </c>
      <c r="B4" s="573"/>
      <c r="C4" s="382" t="s">
        <v>2027</v>
      </c>
      <c r="D4" s="573"/>
    </row>
    <row r="5" spans="1:4" ht="14.25" customHeight="1">
      <c r="A5" s="382" t="s">
        <v>2026</v>
      </c>
      <c r="B5" s="573"/>
      <c r="C5" s="382" t="s">
        <v>2024</v>
      </c>
      <c r="D5" s="573"/>
    </row>
  </sheetData>
  <sheetProtection selectLockedCells="1"/>
  <mergeCells count="1">
    <mergeCell ref="A1:D1"/>
  </mergeCells>
  <phoneticPr fontId="1" type="noConversion"/>
  <dataValidations count="7">
    <dataValidation type="decimal" operator="notEqual" allowBlank="1" showInputMessage="1" showErrorMessage="1" error="请输入的数字类型格式的金额！" prompt="项目基准日经审核调整后的负债总额" sqref="D4">
      <formula1>-9.99999999999999E+22</formula1>
    </dataValidation>
    <dataValidation type="decimal" operator="notEqual" allowBlank="1" showInputMessage="1" showErrorMessage="1" error="请输入的数字类型格式的金额！" prompt="项目基准日经审核调整后的资产总额" sqref="D3">
      <formula1>-999999999999999000</formula1>
    </dataValidation>
    <dataValidation type="date" allowBlank="1" showInputMessage="1" showErrorMessage="1" error="日期格式输入不正确" prompt="清产核资项目的截止时点，精确到年、月、日。" sqref="B2">
      <formula1>1</formula1>
      <formula2>2958465</formula2>
    </dataValidation>
    <dataValidation type="decimal" operator="notEqual" allowBlank="1" showInputMessage="1" showErrorMessage="1" error="请输入的数字类型格式的金额！" prompt="项目基准日由客户提供的未经调整的原始报表中的资产总额" sqref="B3">
      <formula1>-999999999999999</formula1>
    </dataValidation>
    <dataValidation type="decimal" operator="notEqual" allowBlank="1" showInputMessage="1" showErrorMessage="1" error="请输入的数字类型格式的金额！" prompt="项目基准日由客户提供的未经调整的原始报表中的负债总额" sqref="B4">
      <formula1>-999999999999999000000</formula1>
    </dataValidation>
    <dataValidation type="decimal" operator="notEqual" allowBlank="1" showInputMessage="1" showErrorMessage="1" error="请输入的数字类型格式的金额！" prompt="项目基准日由客户提供的未经调整的原始报表中的净资产总额" sqref="B5">
      <formula1>-999999999999999000000</formula1>
    </dataValidation>
    <dataValidation type="decimal" operator="notEqual" allowBlank="1" showInputMessage="1" showErrorMessage="1" error="请输入的数字类型格式的金额！" prompt="项目基准日经审核调整后的净资产总额" sqref="D5">
      <formula1>-9.99999999999999E+21</formula1>
    </dataValidation>
  </dataValidations>
  <pageMargins left="0.7" right="0.7" top="0.75" bottom="0.75" header="0.3" footer="0.3"/>
  <pageSetup paperSize="9" orientation="portrait" horizontalDpi="180" verticalDpi="180"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D8"/>
  <sheetViews>
    <sheetView workbookViewId="0">
      <selection activeCell="B2" sqref="B2"/>
    </sheetView>
  </sheetViews>
  <sheetFormatPr defaultColWidth="9" defaultRowHeight="14.25" customHeight="1"/>
  <cols>
    <col min="1" max="1" width="18.453125" style="106" customWidth="1"/>
    <col min="2" max="2" width="20" style="106" customWidth="1"/>
    <col min="3" max="3" width="20.453125" style="106" customWidth="1"/>
    <col min="4" max="4" width="26.7265625" style="106" customWidth="1"/>
    <col min="5" max="5" width="23.453125" style="106" customWidth="1"/>
    <col min="6" max="6" width="30.36328125" style="106" customWidth="1"/>
    <col min="7" max="7" width="24.36328125" style="106" customWidth="1"/>
    <col min="8" max="8" width="32.08984375" style="106" customWidth="1"/>
    <col min="9" max="9" width="85.90625" style="106" customWidth="1"/>
    <col min="10" max="16384" width="9" style="106"/>
  </cols>
  <sheetData>
    <row r="1" spans="1:4" ht="14.25" customHeight="1">
      <c r="A1" s="739" t="s">
        <v>1678</v>
      </c>
      <c r="B1" s="740"/>
      <c r="C1" s="740"/>
      <c r="D1" s="741"/>
    </row>
    <row r="2" spans="1:4" ht="14.25" customHeight="1">
      <c r="A2" s="382" t="s">
        <v>1683</v>
      </c>
      <c r="B2" s="525" t="s">
        <v>1682</v>
      </c>
      <c r="C2" s="382" t="s">
        <v>1684</v>
      </c>
      <c r="D2" s="501"/>
    </row>
    <row r="3" spans="1:4" ht="14.25" customHeight="1">
      <c r="A3" s="382" t="s">
        <v>1827</v>
      </c>
      <c r="B3" s="566"/>
      <c r="C3" s="382" t="s">
        <v>1828</v>
      </c>
      <c r="D3" s="573"/>
    </row>
    <row r="4" spans="1:4" ht="14.25" customHeight="1">
      <c r="A4" s="382" t="s">
        <v>1685</v>
      </c>
      <c r="B4" s="573"/>
      <c r="C4" s="382" t="s">
        <v>1686</v>
      </c>
      <c r="D4" s="573"/>
    </row>
    <row r="5" spans="1:4" ht="14.25" customHeight="1">
      <c r="A5" s="382" t="s">
        <v>1687</v>
      </c>
      <c r="B5" s="573"/>
      <c r="C5" s="527"/>
      <c r="D5" s="576"/>
    </row>
    <row r="6" spans="1:4" ht="14.25" customHeight="1">
      <c r="A6" s="382" t="s">
        <v>2063</v>
      </c>
      <c r="B6" s="573"/>
      <c r="C6" s="382" t="s">
        <v>1688</v>
      </c>
      <c r="D6" s="573"/>
    </row>
    <row r="7" spans="1:4" ht="14.25" customHeight="1">
      <c r="A7" s="382" t="s">
        <v>1689</v>
      </c>
      <c r="B7" s="573"/>
      <c r="C7" s="527"/>
      <c r="D7" s="526"/>
    </row>
    <row r="8" spans="1:4" ht="14.25" customHeight="1">
      <c r="D8" s="210"/>
    </row>
  </sheetData>
  <sheetProtection selectLockedCells="1"/>
  <mergeCells count="1">
    <mergeCell ref="A1:D1"/>
  </mergeCells>
  <phoneticPr fontId="1" type="noConversion"/>
  <dataValidations count="9">
    <dataValidation type="list" allowBlank="1" showInputMessage="1" showErrorMessage="1" prompt="破产清算是根据是否存在申请破产以及法院介入来判定，如果被清算单位只是资不抵债，但股东同意承担后续负债的话，不属于破产清算。" sqref="B2">
      <formula1>"请选择,解散,破产"</formula1>
    </dataValidation>
    <dataValidation type="date" operator="notEqual" allowBlank="1" showInputMessage="1" showErrorMessage="1" errorTitle="格式有误" error="格式有误，请输入如“2017-01-01”的日期格式！" prompt="由清算组确定的具体清算基准日，一般报告中会明确提出，基准日之后均被称为清算期。填写时精确到年、月、日。" sqref="D2">
      <formula1>1</formula1>
    </dataValidation>
    <dataValidation operator="notEqual" allowBlank="1" showInputMessage="1" showErrorMessage="1" error="格式有误，请输入如“2017-01-01”的日期格式！" prompt="填写清算基准日后第一天至清算结束之间的期间" sqref="B3"/>
    <dataValidation type="decimal" operator="notEqual" allowBlank="1" showInputMessage="1" showErrorMessage="1" error="请输入的数字类型格式的金额！" prompt="根据清算资产负债表中基准日资产总额填写" sqref="B4">
      <formula1>-9.99999999999999E+25</formula1>
    </dataValidation>
    <dataValidation type="decimal" operator="notEqual" allowBlank="1" showInputMessage="1" showErrorMessage="1" error="请输入的数字类型格式的金额！" prompt="根据清算资产负债表中基准日负债总额填写" sqref="D4">
      <formula1>-9.99999999999999E+23</formula1>
    </dataValidation>
    <dataValidation type="decimal" operator="notEqual" allowBlank="1" showInputMessage="1" showErrorMessage="1" error="请输入的数字类型格式的金额！" prompt="根据清算资产负债表中基准日净资产总额填写" sqref="B5">
      <formula1>-9.99999999999999E+24</formula1>
    </dataValidation>
    <dataValidation type="decimal" operator="notEqual" allowBlank="1" showInputMessage="1" showErrorMessage="1" error="请输入的数字类型格式的金额！" prompt="根据清算资产负债表中清算结束日资产总额填写" sqref="B6">
      <formula1>-99999999999999900000</formula1>
    </dataValidation>
    <dataValidation type="decimal" operator="notEqual" allowBlank="1" showInputMessage="1" showErrorMessage="1" error="请输入的数字类型格式的金额！" prompt="根据清算资产负债表中清算结束日负债总额填写" sqref="D6">
      <formula1>-9.99999999999999E+25</formula1>
    </dataValidation>
    <dataValidation type="decimal" operator="notEqual" allowBlank="1" showInputMessage="1" showErrorMessage="1" error="请输入的数字类型格式的金额！" prompt="根据清算资产负债表中清算结束日净资产总额填写" sqref="B7">
      <formula1>-9.99999999999999E+28</formula1>
    </dataValidation>
  </dataValidations>
  <pageMargins left="0.7" right="0.7" top="0.75" bottom="0.75" header="0.3" footer="0.3"/>
  <pageSetup paperSize="9" orientation="portrait" horizontalDpi="180" verticalDpi="180"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
  <sheetViews>
    <sheetView workbookViewId="0">
      <selection activeCell="D2" sqref="D2:D5"/>
    </sheetView>
  </sheetViews>
  <sheetFormatPr defaultRowHeight="14"/>
  <cols>
    <col min="1" max="1" width="20.453125" customWidth="1"/>
    <col min="2" max="2" width="20.6328125" customWidth="1"/>
    <col min="3" max="3" width="29.453125" customWidth="1"/>
    <col min="4" max="4" width="20.6328125" customWidth="1"/>
  </cols>
  <sheetData>
    <row r="1" spans="1:4">
      <c r="A1" s="657" t="s">
        <v>2146</v>
      </c>
      <c r="B1" s="657"/>
      <c r="C1" s="657"/>
      <c r="D1" s="658"/>
    </row>
    <row r="2" spans="1:4">
      <c r="A2" s="588" t="s">
        <v>2147</v>
      </c>
      <c r="B2" s="577"/>
      <c r="C2" s="588" t="s">
        <v>2148</v>
      </c>
      <c r="D2" s="577"/>
    </row>
    <row r="3" spans="1:4">
      <c r="A3" s="436" t="s">
        <v>2149</v>
      </c>
      <c r="B3" s="577"/>
      <c r="C3" s="436" t="s">
        <v>2150</v>
      </c>
      <c r="D3" s="577"/>
    </row>
    <row r="4" spans="1:4">
      <c r="A4" s="436" t="s">
        <v>2151</v>
      </c>
      <c r="B4" s="577"/>
      <c r="C4" s="436" t="s">
        <v>2152</v>
      </c>
      <c r="D4" s="577"/>
    </row>
    <row r="5" spans="1:4">
      <c r="A5" s="436" t="s">
        <v>2153</v>
      </c>
      <c r="B5" s="577"/>
      <c r="C5" s="436" t="s">
        <v>2154</v>
      </c>
      <c r="D5" s="577"/>
    </row>
  </sheetData>
  <mergeCells count="1">
    <mergeCell ref="A1:D1"/>
  </mergeCells>
  <phoneticPr fontId="1" type="noConversion"/>
  <dataValidations count="8">
    <dataValidation type="decimal" operator="notEqual" allowBlank="1" showInputMessage="1" showErrorMessage="1" error="金额格式输入有误！" prompt="按照境内外商投资企业合并财务报表相关会计科目填写" sqref="D5">
      <formula1>-999999999999999000</formula1>
    </dataValidation>
    <dataValidation type="decimal" operator="notEqual" allowBlank="1" showInputMessage="1" showErrorMessage="1" error="金额格式输入有误！" prompt="为外方股权比例或约定比例乘以境内外商投资企业合并财务报表“归属于本机构全体股东的权益”下“实收资本”" sqref="D3">
      <formula1>-999999999999999</formula1>
    </dataValidation>
    <dataValidation type="decimal" operator="notEqual" allowBlank="1" showInputMessage="1" showErrorMessage="1" error="金额格式输入有误！" prompt="为外方股权比例或约定比例乘以境内外商投资企业合并财务报表“归属于本机构全体股东的权益”" sqref="B3">
      <formula1>-9999999999999990000</formula1>
    </dataValidation>
    <dataValidation type="decimal" operator="notEqual" allowBlank="1" showInputMessage="1" showErrorMessage="1" error="金额格式输入有误！" prompt="根据审计发现的外商投资企业已宣告分配但尚未支付给外方的股利" sqref="D2">
      <formula1>-99999999999</formula1>
    </dataValidation>
    <dataValidation type="decimal" operator="notEqual" allowBlank="1" showInputMessage="1" showErrorMessage="1" error="金额格式输入有误！" prompt="根据审计发现截止12月31日境外投资者以外汇、人民币、无形资产、实物资产等各类形式的实际出资及购买中方股权支付的交易对价，外商投资企业以应付外方股东立润、资本公积、盈余公积、未分配利润和已登记外债（可含利息）转增资本的实际出资" sqref="B2">
      <formula1>-99999999999999</formula1>
    </dataValidation>
    <dataValidation type="decimal" operator="notEqual" allowBlank="1" showInputMessage="1" showErrorMessage="1" error="金额格式输入有误！" prompt="按照境内外商投资企业合并财务报表相关会计科目填写" sqref="B4">
      <formula1>-9.99999999999999E+21</formula1>
    </dataValidation>
    <dataValidation type="decimal" operator="notEqual" allowBlank="1" showInputMessage="1" showErrorMessage="1" error="金额格式输入有误！" prompt="按照境内外商投资企业合并财务报表相关会计科目填写" sqref="B5">
      <formula1>-9999999999999990</formula1>
    </dataValidation>
    <dataValidation type="decimal" operator="notEqual" allowBlank="1" showInputMessage="1" showErrorMessage="1" error="金额格式输入有误！" prompt="按照境内外商投资企业合并财务报表相关会计科目填写" sqref="D4">
      <formula1>-99999999999999900</formula1>
    </dataValidation>
  </dataValidations>
  <pageMargins left="0.7" right="0.7" top="0.75" bottom="0.75" header="0.3" footer="0.3"/>
  <pageSetup paperSize="0" orientation="portrait" horizontalDpi="0" verticalDpi="0" copie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D3"/>
  <sheetViews>
    <sheetView workbookViewId="0">
      <selection activeCell="B2" sqref="B2"/>
    </sheetView>
  </sheetViews>
  <sheetFormatPr defaultColWidth="9" defaultRowHeight="14.25" customHeight="1"/>
  <cols>
    <col min="1" max="2" width="18.6328125" style="106" customWidth="1"/>
    <col min="3" max="3" width="16.7265625" style="106" customWidth="1"/>
    <col min="4" max="4" width="18.6328125" style="106" customWidth="1"/>
    <col min="5" max="5" width="9" style="106"/>
    <col min="6" max="6" width="26" style="106" customWidth="1"/>
    <col min="7" max="9" width="9" style="106"/>
    <col min="10" max="10" width="26.7265625" style="106" customWidth="1"/>
    <col min="11" max="11" width="22.6328125" style="106" customWidth="1"/>
    <col min="12" max="12" width="18.453125" style="106" customWidth="1"/>
    <col min="13" max="13" width="22.36328125" style="106" customWidth="1"/>
    <col min="14" max="16384" width="9" style="106"/>
  </cols>
  <sheetData>
    <row r="1" spans="1:4" ht="14.25" customHeight="1">
      <c r="A1" s="657" t="s">
        <v>1678</v>
      </c>
      <c r="B1" s="657"/>
      <c r="C1" s="657"/>
      <c r="D1" s="658"/>
    </row>
    <row r="2" spans="1:4" ht="14.25" customHeight="1">
      <c r="A2" s="413" t="s">
        <v>1829</v>
      </c>
      <c r="B2" s="577"/>
      <c r="C2" s="413" t="s">
        <v>1830</v>
      </c>
      <c r="D2" s="577"/>
    </row>
    <row r="3" spans="1:4" ht="14.25" customHeight="1">
      <c r="A3" s="413" t="s">
        <v>1831</v>
      </c>
      <c r="B3" s="577"/>
      <c r="C3" s="413" t="s">
        <v>1832</v>
      </c>
      <c r="D3" s="577"/>
    </row>
  </sheetData>
  <sheetProtection selectLockedCells="1"/>
  <mergeCells count="1">
    <mergeCell ref="A1:D1"/>
  </mergeCells>
  <phoneticPr fontId="1" type="noConversion"/>
  <dataValidations count="3">
    <dataValidation type="decimal" operator="notEqual" allowBlank="1" showInputMessage="1" showErrorMessage="1" error="金额格式输入有误！" sqref="B2">
      <formula1>-99999999999999</formula1>
    </dataValidation>
    <dataValidation type="decimal" operator="notEqual" allowBlank="1" showInputMessage="1" showErrorMessage="1" error="金额格式输入有误！" sqref="B3">
      <formula1>-999999999999999</formula1>
    </dataValidation>
    <dataValidation type="decimal" operator="notEqual" allowBlank="1" showInputMessage="1" showErrorMessage="1" error="金额格式输入有误！" sqref="D2 D3">
      <formula1>-99999999999</formula1>
    </dataValidation>
  </dataValidations>
  <pageMargins left="0.7" right="0.7" top="0.75" bottom="0.75" header="0.3" footer="0.3"/>
  <pageSetup paperSize="9" orientation="portrait" horizontalDpi="180" verticalDpi="180"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D7"/>
  <sheetViews>
    <sheetView workbookViewId="0">
      <selection activeCell="B2" sqref="B2"/>
    </sheetView>
  </sheetViews>
  <sheetFormatPr defaultColWidth="9" defaultRowHeight="14.25" customHeight="1"/>
  <cols>
    <col min="1" max="1" width="22" style="106" customWidth="1"/>
    <col min="2" max="2" width="18.6328125" style="106" customWidth="1"/>
    <col min="3" max="3" width="27.7265625" style="106" customWidth="1"/>
    <col min="4" max="4" width="18.6328125" style="106" customWidth="1"/>
    <col min="5" max="5" width="9" style="106"/>
    <col min="6" max="6" width="26" style="106" customWidth="1"/>
    <col min="7" max="9" width="9" style="106"/>
    <col min="10" max="10" width="26.7265625" style="106" customWidth="1"/>
    <col min="11" max="11" width="22.6328125" style="106" customWidth="1"/>
    <col min="12" max="12" width="18.453125" style="106" customWidth="1"/>
    <col min="13" max="13" width="22.36328125" style="106" customWidth="1"/>
    <col min="14" max="16384" width="9" style="106"/>
  </cols>
  <sheetData>
    <row r="1" spans="1:4" ht="14.25" customHeight="1">
      <c r="A1" s="657" t="s">
        <v>1678</v>
      </c>
      <c r="B1" s="657"/>
      <c r="C1" s="657"/>
      <c r="D1" s="658"/>
    </row>
    <row r="2" spans="1:4" ht="14.25" customHeight="1">
      <c r="A2" s="382" t="s">
        <v>1690</v>
      </c>
      <c r="B2" s="572" t="s">
        <v>2020</v>
      </c>
      <c r="C2" s="382" t="s">
        <v>1691</v>
      </c>
      <c r="D2" s="572" t="s">
        <v>1682</v>
      </c>
    </row>
    <row r="3" spans="1:4" ht="14.25" customHeight="1">
      <c r="A3" s="382" t="s">
        <v>1692</v>
      </c>
      <c r="B3" s="742"/>
      <c r="C3" s="742"/>
      <c r="D3" s="742"/>
    </row>
    <row r="4" spans="1:4" ht="14.25" customHeight="1">
      <c r="A4" s="382" t="s">
        <v>1693</v>
      </c>
      <c r="B4" s="577"/>
      <c r="C4" s="382" t="s">
        <v>1694</v>
      </c>
      <c r="D4" s="577"/>
    </row>
    <row r="5" spans="1:4" ht="14.25" customHeight="1">
      <c r="A5" s="382" t="s">
        <v>1695</v>
      </c>
      <c r="B5" s="577"/>
      <c r="C5" s="382" t="s">
        <v>1696</v>
      </c>
      <c r="D5" s="577"/>
    </row>
    <row r="6" spans="1:4" ht="14.25" customHeight="1">
      <c r="A6" s="382" t="s">
        <v>1697</v>
      </c>
      <c r="B6" s="577"/>
      <c r="C6" s="382" t="s">
        <v>1698</v>
      </c>
      <c r="D6" s="577"/>
    </row>
    <row r="7" spans="1:4" ht="14.25" customHeight="1">
      <c r="A7" s="382" t="s">
        <v>1699</v>
      </c>
      <c r="B7" s="577"/>
      <c r="C7" s="382" t="s">
        <v>1700</v>
      </c>
      <c r="D7" s="577"/>
    </row>
  </sheetData>
  <sheetProtection selectLockedCells="1"/>
  <mergeCells count="2">
    <mergeCell ref="A1:D1"/>
    <mergeCell ref="B3:D3"/>
  </mergeCells>
  <phoneticPr fontId="1" type="noConversion"/>
  <dataValidations count="11">
    <dataValidation type="decimal" operator="notEqual" allowBlank="1" showInputMessage="1" showErrorMessage="1" error="请输入的数字类型格式的金额！" prompt="用财政专项资金形成固定资产金额，适用于事前补助项目" sqref="D7">
      <formula1>-99999999999999900000</formula1>
    </dataValidation>
    <dataValidation type="decimal" operator="notEqual" allowBlank="1" showInputMessage="1" showErrorMessage="1" error="请输入的数字类型格式的金额！" prompt="填写审核确定的企业自筹资金到位金额" sqref="B7">
      <formula1>-9999999999999990000</formula1>
    </dataValidation>
    <dataValidation type="decimal" operator="notEqual" allowBlank="1" showInputMessage="1" showErrorMessage="1" error="请输入的数字类型格式的金额！" prompt="按合同约定书填写企业自筹资金总额" sqref="D6">
      <formula1>-99999999999999900</formula1>
    </dataValidation>
    <dataValidation type="decimal" operator="notEqual" allowBlank="1" showInputMessage="1" showErrorMessage="1" error="请输入的数字类型格式的金额！" prompt="填写审核后财政资金结余（超支）金额，结余用正数，超支用负数，适用于事前补助项目" sqref="B6">
      <formula1>-9999999999999990000</formula1>
    </dataValidation>
    <dataValidation type="decimal" operator="notEqual" allowBlank="1" showInputMessage="1" showErrorMessage="1" error="请输入的数字类型格式的金额！" prompt="填写审核后财政资金已使用金额，适用于事前补助项目" sqref="D5">
      <formula1>-9999999999999990</formula1>
    </dataValidation>
    <dataValidation type="decimal" operator="notEqual" allowBlank="1" showInputMessage="1" showErrorMessage="1" error="请输入的数字类型格式的金额！" prompt="适用于事前补助项目" sqref="B5">
      <formula1>-9999999999999990</formula1>
    </dataValidation>
    <dataValidation type="decimal" operator="notEqual" allowBlank="1" showInputMessage="1" showErrorMessage="1" error="请输入的数字类型格式的金额！" prompt="除本次审计财政专项资金外，其他各级财政配套金额合计，适用于事前补助项目" sqref="D4">
      <formula1>-9.99999999999999E+24</formula1>
    </dataValidation>
    <dataValidation type="decimal" operator="notEqual" allowBlank="1" showInputMessage="1" showErrorMessage="1" error="请输入的数字类型格式的金额！" prompt="本次审计财政专项资金金额，适用于事前补助项目" sqref="B4">
      <formula1>-99999999999999900</formula1>
    </dataValidation>
    <dataValidation allowBlank="1" showInputMessage="1" showErrorMessage="1" prompt="例如：未专款专用等，适用于事前补助项目" sqref="B3:D3"/>
    <dataValidation type="list" allowBlank="1" showInputMessage="1" showErrorMessage="1" prompt="适用于事前补助项目" sqref="D2">
      <formula1>"请选择,是,否"</formula1>
    </dataValidation>
    <dataValidation type="list" allowBlank="1" showInputMessage="1" showErrorMessage="1" prompt="事前补助是指根据资金计划事前资助，事后补助是指项目已经完成时行补助" sqref="B2">
      <formula1>"请选择,事前补助,事后补助"</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B4"/>
  <sheetViews>
    <sheetView workbookViewId="0">
      <selection activeCell="B2" sqref="B2"/>
    </sheetView>
  </sheetViews>
  <sheetFormatPr defaultColWidth="9" defaultRowHeight="14.25" customHeight="1"/>
  <cols>
    <col min="1" max="1" width="11.08984375" style="106" customWidth="1"/>
    <col min="2" max="2" width="44.6328125" style="106" customWidth="1"/>
    <col min="3" max="16384" width="9" style="106"/>
  </cols>
  <sheetData>
    <row r="1" spans="1:2" ht="14.25" customHeight="1">
      <c r="A1" s="737" t="s">
        <v>1678</v>
      </c>
      <c r="B1" s="724"/>
    </row>
    <row r="2" spans="1:2" ht="14.25" customHeight="1">
      <c r="A2" s="436" t="s">
        <v>1701</v>
      </c>
      <c r="B2" s="584"/>
    </row>
    <row r="3" spans="1:2" ht="14.25" customHeight="1">
      <c r="A3" s="436" t="s">
        <v>1702</v>
      </c>
      <c r="B3" s="584"/>
    </row>
    <row r="4" spans="1:2" ht="14.25" customHeight="1">
      <c r="A4" s="436" t="s">
        <v>2155</v>
      </c>
      <c r="B4" s="584" t="s">
        <v>1682</v>
      </c>
    </row>
  </sheetData>
  <sheetProtection selectLockedCells="1"/>
  <mergeCells count="1">
    <mergeCell ref="A1:B1"/>
  </mergeCells>
  <phoneticPr fontId="1" type="noConversion"/>
  <dataValidations count="1">
    <dataValidation type="list" allowBlank="1" showInputMessage="1" showErrorMessage="1" sqref="B4">
      <formula1>"请选择,优,良,中,差"</formula1>
    </dataValidation>
  </dataValidations>
  <pageMargins left="0.7" right="0.7" top="0.75" bottom="0.75" header="0.3" footer="0.3"/>
  <pageSetup paperSize="9" orientation="portrait" horizontalDpi="180" verticalDpi="180"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D4"/>
  <sheetViews>
    <sheetView workbookViewId="0">
      <selection activeCell="B4" sqref="B4"/>
    </sheetView>
  </sheetViews>
  <sheetFormatPr defaultColWidth="9" defaultRowHeight="14.25" customHeight="1"/>
  <cols>
    <col min="1" max="1" width="17.26953125" style="106" customWidth="1"/>
    <col min="2" max="2" width="29.36328125" style="106" customWidth="1"/>
    <col min="3" max="3" width="18.90625" style="106" customWidth="1"/>
    <col min="4" max="4" width="33" style="106" customWidth="1"/>
    <col min="5" max="16384" width="9" style="106"/>
  </cols>
  <sheetData>
    <row r="1" spans="1:4" ht="14.25" customHeight="1">
      <c r="A1" s="743" t="s">
        <v>1678</v>
      </c>
      <c r="B1" s="744"/>
      <c r="C1" s="745"/>
      <c r="D1" s="745"/>
    </row>
    <row r="2" spans="1:4" ht="14.25" customHeight="1">
      <c r="A2" s="382" t="s">
        <v>2054</v>
      </c>
      <c r="B2" s="506"/>
      <c r="C2" s="382" t="s">
        <v>2055</v>
      </c>
      <c r="D2" s="506"/>
    </row>
    <row r="3" spans="1:4" ht="14.25" customHeight="1">
      <c r="A3" s="382" t="s">
        <v>2052</v>
      </c>
      <c r="B3" s="506"/>
      <c r="C3" s="382" t="s">
        <v>2056</v>
      </c>
      <c r="D3" s="506"/>
    </row>
    <row r="4" spans="1:4" ht="14.25" customHeight="1">
      <c r="A4" s="382" t="s">
        <v>2053</v>
      </c>
      <c r="B4" s="573"/>
      <c r="C4" s="382" t="s">
        <v>2057</v>
      </c>
      <c r="D4" s="573"/>
    </row>
  </sheetData>
  <sheetProtection selectLockedCells="1"/>
  <mergeCells count="1">
    <mergeCell ref="A1:D1"/>
  </mergeCells>
  <phoneticPr fontId="1" type="noConversion"/>
  <dataValidations count="1">
    <dataValidation type="decimal" operator="greaterThanOrEqual" allowBlank="1" showInputMessage="1" showErrorMessage="1" error="金额格式输入不正确，必须大于或等于0！" sqref="B4 D4">
      <formula1>0</formula1>
    </dataValidation>
  </dataValidations>
  <pageMargins left="0.7" right="0.7" top="0.75" bottom="0.75" header="0.3" footer="0.3"/>
  <pageSetup paperSize="9" orientation="portrait" horizontalDpi="180" verticalDpi="180"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D4"/>
  <sheetViews>
    <sheetView workbookViewId="0">
      <selection activeCell="B2" sqref="B2"/>
    </sheetView>
  </sheetViews>
  <sheetFormatPr defaultColWidth="9" defaultRowHeight="14.25" customHeight="1"/>
  <cols>
    <col min="1" max="1" width="17.6328125" style="106" customWidth="1"/>
    <col min="2" max="2" width="26.90625" style="106" customWidth="1"/>
    <col min="3" max="3" width="17.453125" style="106" customWidth="1"/>
    <col min="4" max="4" width="26" style="106" customWidth="1"/>
    <col min="5" max="16384" width="9" style="106"/>
  </cols>
  <sheetData>
    <row r="1" spans="1:4" ht="14.25" customHeight="1">
      <c r="A1" s="746" t="s">
        <v>1678</v>
      </c>
      <c r="B1" s="747"/>
      <c r="C1" s="748"/>
      <c r="D1" s="748"/>
    </row>
    <row r="2" spans="1:4" ht="14.25" customHeight="1">
      <c r="A2" s="382" t="s">
        <v>1703</v>
      </c>
      <c r="B2" s="484"/>
      <c r="C2" s="382" t="s">
        <v>1705</v>
      </c>
      <c r="D2" s="572" t="s">
        <v>1682</v>
      </c>
    </row>
    <row r="3" spans="1:4" ht="14.25" customHeight="1">
      <c r="A3" s="382" t="s">
        <v>1978</v>
      </c>
      <c r="B3" s="572" t="s">
        <v>1682</v>
      </c>
    </row>
    <row r="4" spans="1:4" ht="14.25" customHeight="1">
      <c r="A4" s="381" t="s">
        <v>1979</v>
      </c>
      <c r="B4" s="378"/>
      <c r="C4" s="381" t="s">
        <v>1680</v>
      </c>
      <c r="D4" s="378"/>
    </row>
  </sheetData>
  <sheetProtection selectLockedCells="1"/>
  <mergeCells count="1">
    <mergeCell ref="A1:D1"/>
  </mergeCells>
  <phoneticPr fontId="1" type="noConversion"/>
  <dataValidations count="3">
    <dataValidation type="date" operator="notEqual" allowBlank="1" showInputMessage="1" showErrorMessage="1" error="格式有误，请输入如“2017-01-01”的日期格式！" prompt="根据与委托方签订的业务约定书约定的审计范围及其他相关文件等分析填报" sqref="B2">
      <formula1>1</formula1>
    </dataValidation>
    <dataValidation type="list" allowBlank="1" showInputMessage="1" showErrorMessage="1" sqref="B3">
      <formula1>"请选择,无保留意见,保留意见,无保留意见带强调事项,否定意见,无法表示意见"</formula1>
    </dataValidation>
    <dataValidation type="list" allowBlank="1" showInputMessage="1" showErrorMessage="1" prompt="根据审计结论分析填报" sqref="D2">
      <formula1>"请选择,是,否"</formula1>
    </dataValidation>
  </dataValidations>
  <pageMargins left="0.7" right="0.7" top="0.75" bottom="0.75" header="0.3" footer="0.3"/>
  <pageSetup paperSize="9" orientation="portrait" horizontalDpi="180" verticalDpi="180"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D4"/>
  <sheetViews>
    <sheetView workbookViewId="0">
      <selection activeCell="B2" sqref="B2"/>
    </sheetView>
  </sheetViews>
  <sheetFormatPr defaultRowHeight="14"/>
  <cols>
    <col min="1" max="4" width="20.6328125" style="106" customWidth="1"/>
    <col min="10" max="10" width="18.7265625" customWidth="1"/>
    <col min="11" max="11" width="19.7265625" customWidth="1"/>
    <col min="13" max="13" width="35.6328125" customWidth="1"/>
  </cols>
  <sheetData>
    <row r="1" spans="1:4">
      <c r="A1" s="737" t="s">
        <v>1678</v>
      </c>
      <c r="B1" s="738"/>
      <c r="C1" s="738"/>
      <c r="D1" s="724"/>
    </row>
    <row r="2" spans="1:4">
      <c r="A2" s="382" t="s">
        <v>2123</v>
      </c>
      <c r="B2" s="559" t="s">
        <v>1682</v>
      </c>
      <c r="C2" s="382" t="s">
        <v>2117</v>
      </c>
      <c r="D2" s="559" t="s">
        <v>2124</v>
      </c>
    </row>
    <row r="3" spans="1:4">
      <c r="A3" s="382" t="s">
        <v>2118</v>
      </c>
      <c r="B3" s="559" t="s">
        <v>1682</v>
      </c>
      <c r="C3" s="382" t="s">
        <v>2119</v>
      </c>
      <c r="D3" s="573"/>
    </row>
    <row r="4" spans="1:4">
      <c r="A4" s="382" t="s">
        <v>2120</v>
      </c>
      <c r="B4" s="573"/>
      <c r="C4" s="382" t="s">
        <v>2121</v>
      </c>
      <c r="D4" s="573"/>
    </row>
  </sheetData>
  <sheetProtection selectLockedCells="1"/>
  <mergeCells count="1">
    <mergeCell ref="A1:D1"/>
  </mergeCells>
  <phoneticPr fontId="1" type="noConversion"/>
  <dataValidations count="6">
    <dataValidation type="list" allowBlank="1" showInputMessage="1" showErrorMessage="1" sqref="B2">
      <formula1>"请选择,预算,结算,决算"</formula1>
    </dataValidation>
    <dataValidation type="decimal" operator="notEqual" allowBlank="1" showInputMessage="1" showErrorMessage="1" error="请输入的数字类型格式的金额！" prompt="根据竣工工程财务决算表中资金来源一列的合计填写。" sqref="D4">
      <formula1>-99999999999999900</formula1>
    </dataValidation>
    <dataValidation type="decimal" operator="notEqual" allowBlank="1" showInputMessage="1" showErrorMessage="1" error="请输入的数字类型格式的金额！" prompt="根据竣工工程财务决算表“基建工程投资合计”一栏填写，注意含税。" sqref="D3">
      <formula1>-99999999999999900</formula1>
    </dataValidation>
    <dataValidation allowBlank="1" showInputMessage="1" showErrorMessage="1" prompt="根据该项目经批复的项目概算填写。" sqref="B4"/>
    <dataValidation type="list" allowBlank="1" showInputMessage="1" showErrorMessage="1" prompt="根据报告中对该工程的开工时间与竣工时间的跨度进行选择。" sqref="B3">
      <formula1>"请选择,1年以内,1年以上"</formula1>
    </dataValidation>
    <dataValidation type="list" allowBlank="1" showInputMessage="1" showErrorMessage="1" prompt="根据该建设工程是否进行招标标进行选择。" sqref="D2">
      <formula1>"请选择,是,否"</formula1>
    </dataValidation>
  </dataValidations>
  <pageMargins left="0.7" right="0.7" top="0.75" bottom="0.75" header="0.3" footer="0.3"/>
  <pageSetup paperSize="9" orientation="portrait" horizontalDpi="180" verticalDpi="180"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E23"/>
  <sheetViews>
    <sheetView workbookViewId="0">
      <selection activeCell="B2" sqref="B2"/>
    </sheetView>
  </sheetViews>
  <sheetFormatPr defaultRowHeight="14.25" customHeight="1"/>
  <cols>
    <col min="1" max="4" width="20.6328125" customWidth="1"/>
    <col min="5" max="5" width="26" customWidth="1"/>
    <col min="6" max="6" width="36.6328125" customWidth="1"/>
    <col min="7" max="7" width="57.36328125" customWidth="1"/>
    <col min="8" max="8" width="23" customWidth="1"/>
    <col min="9" max="9" width="15" customWidth="1"/>
    <col min="10" max="10" width="17" customWidth="1"/>
    <col min="11" max="11" width="26.453125" customWidth="1"/>
    <col min="12" max="12" width="58" customWidth="1"/>
  </cols>
  <sheetData>
    <row r="1" spans="1:5" ht="14.25" customHeight="1">
      <c r="A1" s="737" t="s">
        <v>1678</v>
      </c>
      <c r="B1" s="738"/>
      <c r="C1" s="738"/>
      <c r="D1" s="724"/>
    </row>
    <row r="2" spans="1:5" ht="14.25" customHeight="1">
      <c r="A2" s="384" t="s">
        <v>1707</v>
      </c>
      <c r="B2" s="486"/>
      <c r="C2" s="384" t="s">
        <v>1708</v>
      </c>
      <c r="D2" s="528"/>
      <c r="E2" s="87"/>
    </row>
    <row r="3" spans="1:5" ht="14.25" customHeight="1">
      <c r="A3" s="382" t="s">
        <v>1709</v>
      </c>
      <c r="B3" s="578"/>
      <c r="C3" s="384" t="s">
        <v>1710</v>
      </c>
      <c r="D3" s="579"/>
      <c r="E3" s="87"/>
    </row>
    <row r="4" spans="1:5" ht="14.25" customHeight="1">
      <c r="A4" s="382" t="s">
        <v>1711</v>
      </c>
      <c r="B4" s="579"/>
      <c r="C4" s="384" t="s">
        <v>1712</v>
      </c>
      <c r="D4" s="579"/>
      <c r="E4" s="87"/>
    </row>
    <row r="5" spans="1:5" ht="14.25" customHeight="1">
      <c r="A5" s="382" t="s">
        <v>1713</v>
      </c>
      <c r="B5" s="486"/>
      <c r="C5" s="384" t="s">
        <v>1714</v>
      </c>
      <c r="D5" s="579"/>
      <c r="E5" s="87"/>
    </row>
    <row r="6" spans="1:5" ht="14.25" customHeight="1">
      <c r="A6" s="87"/>
      <c r="B6" s="87"/>
      <c r="C6" s="87"/>
      <c r="D6" s="87"/>
      <c r="E6" s="87"/>
    </row>
    <row r="7" spans="1:5" ht="14.25" customHeight="1">
      <c r="A7" s="87"/>
      <c r="B7" s="87"/>
      <c r="C7" s="87"/>
      <c r="D7" s="87"/>
      <c r="E7" s="87"/>
    </row>
    <row r="8" spans="1:5" ht="14.25" customHeight="1">
      <c r="A8" s="87"/>
      <c r="B8" s="87"/>
      <c r="C8" s="87"/>
      <c r="D8" s="87"/>
      <c r="E8" s="87"/>
    </row>
    <row r="9" spans="1:5" ht="14.25" customHeight="1">
      <c r="A9" s="87"/>
      <c r="B9" s="87"/>
      <c r="C9" s="87"/>
      <c r="D9" s="87"/>
      <c r="E9" s="87"/>
    </row>
    <row r="10" spans="1:5" ht="14.25" customHeight="1">
      <c r="A10" s="87"/>
      <c r="B10" s="87"/>
      <c r="C10" s="87"/>
      <c r="D10" s="87"/>
      <c r="E10" s="87"/>
    </row>
    <row r="11" spans="1:5" ht="14.25" customHeight="1">
      <c r="A11" s="87"/>
      <c r="B11" s="87"/>
      <c r="C11" s="87"/>
      <c r="D11" s="87"/>
      <c r="E11" s="87"/>
    </row>
    <row r="12" spans="1:5" ht="14.25" customHeight="1">
      <c r="A12" s="87"/>
      <c r="B12" s="87"/>
      <c r="C12" s="87"/>
      <c r="D12" s="87"/>
      <c r="E12" s="87"/>
    </row>
    <row r="13" spans="1:5" ht="14.25" customHeight="1">
      <c r="A13" s="87"/>
    </row>
    <row r="14" spans="1:5" ht="14.25" customHeight="1">
      <c r="A14" s="87"/>
    </row>
    <row r="15" spans="1:5" ht="14.25" customHeight="1">
      <c r="A15" s="87"/>
    </row>
    <row r="16" spans="1:5" ht="14.25" customHeight="1">
      <c r="A16" s="87"/>
    </row>
    <row r="17" spans="1:1" ht="14.25" customHeight="1">
      <c r="A17" s="87"/>
    </row>
    <row r="18" spans="1:1" ht="14.25" customHeight="1">
      <c r="A18" s="87"/>
    </row>
    <row r="19" spans="1:1" ht="14.25" customHeight="1">
      <c r="A19" s="87"/>
    </row>
    <row r="20" spans="1:1" ht="14.25" customHeight="1">
      <c r="A20" s="87"/>
    </row>
    <row r="21" spans="1:1" ht="14.25" customHeight="1">
      <c r="A21" s="87"/>
    </row>
    <row r="22" spans="1:1" ht="14.25" customHeight="1">
      <c r="A22" s="87"/>
    </row>
    <row r="23" spans="1:1" ht="14.25" customHeight="1">
      <c r="A23" s="87"/>
    </row>
  </sheetData>
  <sheetProtection selectLockedCells="1"/>
  <mergeCells count="1">
    <mergeCell ref="A1:D1"/>
  </mergeCells>
  <phoneticPr fontId="1" type="noConversion"/>
  <dataValidations count="8">
    <dataValidation allowBlank="1" showInputMessage="1" showErrorMessage="1" prompt="根据与委托方签订的业务约定书约定的审计范围等分析填报" sqref="B2"/>
    <dataValidation operator="notEqual" allowBlank="1" showInputMessage="1" showErrorMessage="1" error="格式有误，请输入如“2017-01-01”的日期格式！" prompt="根据与委托方签订的业务约定书约定的审计范围及其他相关文件等分析填报" sqref="D2"/>
    <dataValidation type="decimal" operator="notEqual" allowBlank="1" showInputMessage="1" showErrorMessage="1" error="请输入的数字类型格式的金额！" prompt="填报审计项目（对象）形成的收入" sqref="B3">
      <formula1>-9.99999999999999E+21</formula1>
    </dataValidation>
    <dataValidation type="decimal" operator="notEqual" allowBlank="1" showInputMessage="1" showErrorMessage="1" error="请输入的数字类型格式的金额！" prompt="填报审计项目（对象）形成的支出（费用）" sqref="D3">
      <formula1>-999999999999999000</formula1>
    </dataValidation>
    <dataValidation type="decimal" operator="notEqual" allowBlank="1" showInputMessage="1" showErrorMessage="1" error="请输入的数字类型格式的金额！" prompt="填报审计项目（对象）形成的利润，等于前两项金额的差。" sqref="B4">
      <formula1>-9.99999999999999E+22</formula1>
    </dataValidation>
    <dataValidation type="decimal" operator="notEqual" allowBlank="1" showInputMessage="1" showErrorMessage="1" error="请输入的数字类型格式的金额！" prompt="填报审计项目（对象）形成的净资产余额。" sqref="D4">
      <formula1>-9.99999999999999E+21</formula1>
    </dataValidation>
    <dataValidation allowBlank="1" showInputMessage="1" showErrorMessage="1" prompt="填报审计项目（对象）上述指标之外，其他重要的定量指标的名称。" sqref="B5"/>
    <dataValidation type="decimal" operator="notEqual" allowBlank="1" showInputMessage="1" showErrorMessage="1" error="请输入的数字类型格式的金额！" prompt="填报审计项目（对象）上述指标之外，其他重要的定量指标的金额。" sqref="D5">
      <formula1>-9.99999999999999E+23</formula1>
    </dataValidation>
  </dataValidations>
  <pageMargins left="0.7" right="0.7" top="0.75" bottom="0.75" header="0.3" footer="0.3"/>
  <pageSetup paperSize="9" orientation="portrait" horizontalDpi="180" verticalDpi="180"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D9"/>
  <sheetViews>
    <sheetView workbookViewId="0">
      <selection sqref="A1:D1"/>
    </sheetView>
  </sheetViews>
  <sheetFormatPr defaultRowHeight="14.25" customHeight="1"/>
  <cols>
    <col min="1" max="1" width="27.7265625" customWidth="1"/>
    <col min="2" max="2" width="20.6328125" customWidth="1"/>
    <col min="3" max="3" width="28.08984375" customWidth="1"/>
    <col min="4" max="4" width="36.453125" customWidth="1"/>
  </cols>
  <sheetData>
    <row r="1" spans="1:4" ht="14.25" customHeight="1">
      <c r="A1" s="737" t="s">
        <v>1678</v>
      </c>
      <c r="B1" s="738"/>
      <c r="C1" s="738"/>
      <c r="D1" s="724"/>
    </row>
    <row r="2" spans="1:4" ht="14.25" customHeight="1">
      <c r="A2" s="384" t="s">
        <v>1716</v>
      </c>
      <c r="B2" s="134"/>
      <c r="C2" s="384" t="s">
        <v>1723</v>
      </c>
      <c r="D2" s="134"/>
    </row>
    <row r="3" spans="1:4" ht="14.25" customHeight="1">
      <c r="A3" s="384" t="s">
        <v>1717</v>
      </c>
      <c r="B3" s="134" t="s">
        <v>1682</v>
      </c>
      <c r="C3" s="384" t="s">
        <v>1720</v>
      </c>
      <c r="D3" s="134"/>
    </row>
    <row r="4" spans="1:4" ht="14.25" customHeight="1">
      <c r="A4" s="384" t="s">
        <v>1718</v>
      </c>
      <c r="B4" s="134"/>
      <c r="C4" s="384" t="s">
        <v>1721</v>
      </c>
      <c r="D4" s="134"/>
    </row>
    <row r="5" spans="1:4" ht="14.25" customHeight="1">
      <c r="A5" s="384" t="s">
        <v>1719</v>
      </c>
      <c r="B5" s="134"/>
      <c r="C5" s="384" t="s">
        <v>1722</v>
      </c>
      <c r="D5" s="134"/>
    </row>
    <row r="6" spans="1:4" ht="14.25" customHeight="1">
      <c r="A6" s="384" t="s">
        <v>1715</v>
      </c>
      <c r="B6" s="134"/>
      <c r="C6" s="384"/>
      <c r="D6" s="134"/>
    </row>
    <row r="7" spans="1:4" ht="14.25" customHeight="1">
      <c r="A7" s="87"/>
      <c r="B7" s="87"/>
      <c r="C7" s="87"/>
      <c r="D7" s="87"/>
    </row>
    <row r="8" spans="1:4" ht="14.25" customHeight="1">
      <c r="A8" s="87"/>
      <c r="B8" s="87"/>
      <c r="C8" s="87"/>
      <c r="D8" s="87"/>
    </row>
    <row r="9" spans="1:4" ht="14.25" customHeight="1">
      <c r="A9" s="87"/>
      <c r="B9" s="87"/>
      <c r="C9" s="87"/>
      <c r="D9" s="87"/>
    </row>
  </sheetData>
  <mergeCells count="1">
    <mergeCell ref="A1:D1"/>
  </mergeCells>
  <phoneticPr fontId="1" type="noConversion"/>
  <dataValidations count="9">
    <dataValidation allowBlank="1" showInputMessage="1" showErrorMessage="1" prompt="根据与委托方签订的业务约定书约定的审计范围等分析填报" sqref="B2"/>
    <dataValidation type="date" operator="notEqual" allowBlank="1" showInputMessage="1" showErrorMessage="1" error="格式有误，请输入如“2017-01-01”的日期格式！" prompt="根据与委托方签订的业务约定书约定的审计范围及其他相关文件等分析填报" sqref="D2">
      <formula1>1</formula1>
    </dataValidation>
    <dataValidation type="list" allowBlank="1" showInputMessage="1" showErrorMessage="1" prompt="根据审计结论分析填报" sqref="B3">
      <formula1>"请选择,是,否"</formula1>
    </dataValidation>
    <dataValidation type="decimal" operator="notEqual" allowBlank="1" showInputMessage="1" showErrorMessage="1" error="请输入的数字类型格式的金额！" prompt="填报被鉴证单位审计期内向海关申报的一般贸易方式出口的金额。" sqref="D3">
      <formula1>-9.99999999999999E+21</formula1>
    </dataValidation>
    <dataValidation type="decimal" operator="notEqual" allowBlank="1" showInputMessage="1" showErrorMessage="1" error="请输入的数字类型格式的金额！" prompt="填报被鉴证单位审计期内向海关申报的一般贸易方式进口的金额。" sqref="B4">
      <formula1>-9.99999999999999E+21</formula1>
    </dataValidation>
    <dataValidation type="decimal" operator="notEqual" allowBlank="1" showInputMessage="1" showErrorMessage="1" error="请输入的数字类型格式的金额！" prompt="填报被鉴证单位审计期内向海关申报的一般贸易方式之外，其他贸易方式出口的金额。" sqref="D4">
      <formula1>-9.99999999999999E+22</formula1>
    </dataValidation>
    <dataValidation type="decimal" operator="notEqual" allowBlank="1" showInputMessage="1" showErrorMessage="1" error="请输入的数字类型格式的金额！" prompt="填报被鉴证单位审计期内向海关申报的一般贸易方式之外，其他贸易方式进口的金额。" sqref="B5">
      <formula1>-999999999999</formula1>
    </dataValidation>
    <dataValidation allowBlank="1" showInputMessage="1" showErrorMessage="1" prompt="填报审计项目（对象）上述指标之外，其他重要的定量指标的名称。" sqref="D5"/>
    <dataValidation type="decimal" operator="notEqual" allowBlank="1" showInputMessage="1" showErrorMessage="1" error="请输入的数字类型格式的金额！" prompt="填报审计项目（对象）上述指标之外，其他重要的定量指标的金额。" sqref="B6">
      <formula1>-999999999999999</formula1>
    </dataValidation>
  </dataValidations>
  <pageMargins left="0.7" right="0.7" top="0.75" bottom="0.75" header="0.3" footer="0.3"/>
  <pageSetup paperSize="9" orientation="portrait" horizontalDpi="180" verticalDpi="180"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D10"/>
  <sheetViews>
    <sheetView workbookViewId="0">
      <selection sqref="A1:D1"/>
    </sheetView>
  </sheetViews>
  <sheetFormatPr defaultRowHeight="14"/>
  <cols>
    <col min="1" max="1" width="23.7265625" customWidth="1"/>
    <col min="2" max="4" width="20.6328125" customWidth="1"/>
    <col min="5" max="5" width="28" customWidth="1"/>
    <col min="7" max="7" width="14" customWidth="1"/>
    <col min="8" max="8" width="30.6328125" customWidth="1"/>
    <col min="9" max="9" width="51.6328125" customWidth="1"/>
  </cols>
  <sheetData>
    <row r="1" spans="1:4">
      <c r="A1" s="737" t="s">
        <v>1678</v>
      </c>
      <c r="B1" s="738"/>
      <c r="C1" s="738"/>
      <c r="D1" s="724"/>
    </row>
    <row r="2" spans="1:4">
      <c r="A2" s="384" t="s">
        <v>1724</v>
      </c>
      <c r="B2" s="385"/>
      <c r="C2" s="384" t="s">
        <v>1732</v>
      </c>
      <c r="D2" s="385" t="s">
        <v>1682</v>
      </c>
    </row>
    <row r="3" spans="1:4">
      <c r="A3" s="384" t="s">
        <v>1725</v>
      </c>
      <c r="B3" s="385"/>
      <c r="C3" s="384" t="s">
        <v>1840</v>
      </c>
      <c r="D3" s="385" t="s">
        <v>1682</v>
      </c>
    </row>
    <row r="4" spans="1:4">
      <c r="A4" s="384" t="s">
        <v>1726</v>
      </c>
      <c r="B4" s="385"/>
      <c r="C4" s="384" t="s">
        <v>1733</v>
      </c>
      <c r="D4" s="385"/>
    </row>
    <row r="5" spans="1:4">
      <c r="A5" s="384" t="s">
        <v>1727</v>
      </c>
      <c r="B5" s="385"/>
      <c r="C5" s="384" t="s">
        <v>1734</v>
      </c>
      <c r="D5" s="385"/>
    </row>
    <row r="6" spans="1:4">
      <c r="A6" s="384" t="s">
        <v>1728</v>
      </c>
      <c r="B6" s="385"/>
      <c r="C6" s="384" t="s">
        <v>1735</v>
      </c>
      <c r="D6" s="385"/>
    </row>
    <row r="7" spans="1:4">
      <c r="A7" s="384" t="s">
        <v>1839</v>
      </c>
      <c r="B7" s="385"/>
      <c r="C7" s="384" t="s">
        <v>1736</v>
      </c>
      <c r="D7" s="385"/>
    </row>
    <row r="8" spans="1:4">
      <c r="A8" s="384" t="s">
        <v>1729</v>
      </c>
      <c r="B8" s="385"/>
      <c r="C8" s="384" t="s">
        <v>1737</v>
      </c>
      <c r="D8" s="385"/>
    </row>
    <row r="9" spans="1:4">
      <c r="A9" s="384" t="s">
        <v>1730</v>
      </c>
      <c r="B9" s="385"/>
      <c r="C9" s="386" t="s">
        <v>1738</v>
      </c>
      <c r="D9" s="387" t="s">
        <v>1681</v>
      </c>
    </row>
    <row r="10" spans="1:4">
      <c r="A10" s="381" t="s">
        <v>1731</v>
      </c>
      <c r="B10" s="387"/>
      <c r="C10" s="381" t="s">
        <v>1739</v>
      </c>
      <c r="D10" s="387"/>
    </row>
  </sheetData>
  <mergeCells count="1">
    <mergeCell ref="A1:D1"/>
  </mergeCells>
  <phoneticPr fontId="1" type="noConversion"/>
  <dataValidations count="16">
    <dataValidation type="date" operator="notEqual" allowBlank="1" showInputMessage="1" showErrorMessage="1" error="格式有误，请输入如“2017-01-01”的日期格式！" prompt="填写实际审计期间" sqref="B2">
      <formula1>1</formula1>
    </dataValidation>
    <dataValidation type="list" allowBlank="1" showInputMessage="1" showErrorMessage="1" sqref="D2">
      <formula1>"请选择,查账征收,核定征收"</formula1>
    </dataValidation>
    <dataValidation allowBlank="1" showInputMessage="1" showErrorMessage="1" prompt="按所得税征收管理机关填写" sqref="B3"/>
    <dataValidation type="list" allowBlank="1" showInputMessage="1" showErrorMessage="1" sqref="D3">
      <formula1>"请选择,一般纳税人,小规模纳税人,非增值税纳税人"</formula1>
    </dataValidation>
    <dataValidation type="decimal" operator="notEqual" allowBlank="1" showInputMessage="1" showErrorMessage="1" error="请输入的数字类型格式的金额！" prompt="审核后主营业务收入总额" sqref="B4">
      <formula1>-99999999999999900</formula1>
    </dataValidation>
    <dataValidation type="decimal" operator="notEqual" allowBlank="1" showInputMessage="1" showErrorMessage="1" error="请输入的数字类型格式的金额！" prompt="审核后收入总额" sqref="D4">
      <formula1>-9999999999999</formula1>
    </dataValidation>
    <dataValidation type="decimal" operator="notEqual" allowBlank="1" showInputMessage="1" showErrorMessage="1" error="请输入的数字类型格式的金额！" prompt="审核后的资产总额" sqref="B5">
      <formula1>-9.99999999999999E+25</formula1>
    </dataValidation>
    <dataValidation type="decimal" operator="notEqual" allowBlank="1" showInputMessage="1" showErrorMessage="1" error="请输入的数字类型格式的金额！" prompt="审核后的负债总额" sqref="D5">
      <formula1>-9.99999999999999E+21</formula1>
    </dataValidation>
    <dataValidation type="decimal" operator="notEqual" allowBlank="1" showInputMessage="1" showErrorMessage="1" error="请输入的数字类型格式的金额！" prompt="审核后的利润总额" sqref="B6">
      <formula1>-9999999999999990000</formula1>
    </dataValidation>
    <dataValidation type="decimal" operator="notEqual" allowBlank="1" showInputMessage="1" showErrorMessage="1" error="请输入的数字类型格式的金额！" prompt="调整增加填正数，调整减少填负数" sqref="D6">
      <formula1>-9999999999999990</formula1>
    </dataValidation>
    <dataValidation type="decimal" operator="notEqual" allowBlank="1" showInputMessage="1" showErrorMessage="1" error="请输入的数字类型格式的金额！" prompt="符合条件的免税、减计收入及加计扣除总计" sqref="B7">
      <formula1>-99999999999999900</formula1>
    </dataValidation>
    <dataValidation type="decimal" operator="notEqual" allowBlank="1" showInputMessage="1" showErrorMessage="1" error="请输入的数字类型格式的金额！" prompt="减免或抵免所得税额" sqref="D7">
      <formula1>-9999999999999</formula1>
    </dataValidation>
    <dataValidation type="decimal" operator="notEqual" allowBlank="1" showInputMessage="1" showErrorMessage="1" error="请输入的数字类型格式的金额！" prompt="填写弥补以前年度亏损额" sqref="B8">
      <formula1>-99999999999999</formula1>
    </dataValidation>
    <dataValidation type="decimal" operator="notEqual" allowBlank="1" showInputMessage="1" showErrorMessage="1" error="请输入的数字类型格式的金额！" prompt="经审核后实际应纳企业所得税额" sqref="D8">
      <formula1>-99999999999999</formula1>
    </dataValidation>
    <dataValidation type="decimal" operator="notEqual" allowBlank="1" showInputMessage="1" showErrorMessage="1" error="请输入的数字类型格式的金额！" prompt="应补填正数，应退填负数" sqref="B9">
      <formula1>-99999999999999</formula1>
    </dataValidation>
    <dataValidation type="list" allowBlank="1" showInputMessage="1" showErrorMessage="1" sqref="D9">
      <formula1>"请选择,无保留意见,保留意见,无保留意见带强调事项,否定意见,无法表示意见"</formula1>
    </dataValidation>
  </dataValidations>
  <pageMargins left="0.7" right="0.7" top="0.75" bottom="0.75" header="0.3" footer="0.3"/>
  <pageSetup paperSize="9" orientation="portrait" horizontalDpi="180" verticalDpi="18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D3"/>
  <sheetViews>
    <sheetView workbookViewId="0">
      <selection activeCell="B23" sqref="B23"/>
    </sheetView>
  </sheetViews>
  <sheetFormatPr defaultRowHeight="14"/>
  <cols>
    <col min="1" max="1" width="20.6328125" customWidth="1"/>
    <col min="2" max="2" width="52.08984375" customWidth="1"/>
  </cols>
  <sheetData>
    <row r="1" spans="1:4">
      <c r="A1" s="749" t="s">
        <v>1678</v>
      </c>
      <c r="B1" s="750"/>
      <c r="C1" s="375"/>
      <c r="D1" s="375"/>
    </row>
    <row r="2" spans="1:4">
      <c r="A2" s="382" t="s">
        <v>1740</v>
      </c>
      <c r="B2" s="383"/>
      <c r="C2" s="82"/>
      <c r="D2" s="82"/>
    </row>
    <row r="3" spans="1:4">
      <c r="A3" s="82"/>
      <c r="B3" s="82"/>
      <c r="C3" s="82"/>
      <c r="D3" s="82"/>
    </row>
  </sheetData>
  <mergeCells count="1">
    <mergeCell ref="A1:B1"/>
  </mergeCells>
  <phoneticPr fontId="1" type="noConversion"/>
  <pageMargins left="0.7" right="0.7" top="0.75" bottom="0.75" header="0.3" footer="0.3"/>
  <pageSetup paperSize="9" orientation="portrait" horizontalDpi="180" verticalDpi="180"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E18"/>
  <sheetViews>
    <sheetView workbookViewId="0">
      <selection activeCell="B4" sqref="B4"/>
    </sheetView>
  </sheetViews>
  <sheetFormatPr defaultRowHeight="14.25" customHeight="1"/>
  <cols>
    <col min="1" max="1" width="19.08984375" style="368" customWidth="1"/>
    <col min="2" max="2" width="20.08984375" customWidth="1"/>
    <col min="3" max="3" width="20.26953125" customWidth="1"/>
    <col min="4" max="4" width="28.08984375" customWidth="1"/>
    <col min="5" max="5" width="18.08984375" customWidth="1"/>
  </cols>
  <sheetData>
    <row r="1" spans="1:5" ht="14.25" customHeight="1">
      <c r="A1" s="751" t="s">
        <v>1947</v>
      </c>
      <c r="B1" s="752"/>
      <c r="C1" s="752"/>
      <c r="D1" s="752"/>
      <c r="E1" s="434"/>
    </row>
    <row r="2" spans="1:5" s="368" customFormat="1" ht="15" customHeight="1">
      <c r="A2" s="440" t="s">
        <v>1971</v>
      </c>
      <c r="B2" s="487" t="s">
        <v>1682</v>
      </c>
      <c r="C2" s="441" t="s">
        <v>1969</v>
      </c>
      <c r="D2" s="488" t="s">
        <v>2020</v>
      </c>
    </row>
    <row r="3" spans="1:5" ht="15" customHeight="1">
      <c r="A3" s="430"/>
      <c r="B3" s="439" t="s">
        <v>1964</v>
      </c>
      <c r="C3" s="439" t="s">
        <v>1965</v>
      </c>
      <c r="D3" s="439" t="s">
        <v>1966</v>
      </c>
    </row>
    <row r="4" spans="1:5" ht="15" customHeight="1">
      <c r="A4" s="439" t="s">
        <v>1972</v>
      </c>
      <c r="B4" s="433"/>
      <c r="C4" s="642"/>
      <c r="D4" s="567"/>
    </row>
    <row r="5" spans="1:5" ht="15" customHeight="1">
      <c r="A5" s="439" t="s">
        <v>1973</v>
      </c>
      <c r="B5" s="433"/>
      <c r="C5" s="642"/>
      <c r="D5" s="567"/>
    </row>
    <row r="6" spans="1:5" ht="15" customHeight="1">
      <c r="A6" s="439" t="s">
        <v>1974</v>
      </c>
      <c r="B6" s="433"/>
      <c r="C6" s="642"/>
      <c r="D6" s="567"/>
    </row>
    <row r="7" spans="1:5" ht="15" customHeight="1">
      <c r="A7" s="439" t="s">
        <v>1975</v>
      </c>
      <c r="B7" s="433"/>
      <c r="C7" s="642"/>
      <c r="D7" s="567"/>
    </row>
    <row r="8" spans="1:5" ht="15" customHeight="1">
      <c r="A8" s="439" t="s">
        <v>1976</v>
      </c>
      <c r="B8" s="433"/>
      <c r="C8" s="642"/>
      <c r="D8" s="567"/>
    </row>
    <row r="9" spans="1:5" ht="15" customHeight="1">
      <c r="A9" s="106"/>
      <c r="B9" s="109" t="s">
        <v>1967</v>
      </c>
      <c r="C9" s="580">
        <f>C4+C5+C6+C7+C8</f>
        <v>0</v>
      </c>
      <c r="D9" s="106"/>
      <c r="E9" s="106"/>
    </row>
    <row r="10" spans="1:5" ht="15" customHeight="1">
      <c r="A10" s="106"/>
      <c r="B10" s="106"/>
      <c r="C10" s="106"/>
      <c r="D10" s="106"/>
      <c r="E10" s="106"/>
    </row>
    <row r="11" spans="1:5" ht="15" customHeight="1">
      <c r="A11" s="436" t="s">
        <v>1968</v>
      </c>
      <c r="B11" s="581"/>
      <c r="C11" s="436" t="s">
        <v>1970</v>
      </c>
      <c r="D11" s="573"/>
    </row>
    <row r="12" spans="1:5" ht="15" customHeight="1">
      <c r="A12" s="437" t="s">
        <v>1738</v>
      </c>
      <c r="B12" s="433" t="s">
        <v>1682</v>
      </c>
      <c r="C12" s="438"/>
    </row>
    <row r="13" spans="1:5" ht="15" customHeight="1">
      <c r="A13" s="437" t="s">
        <v>1731</v>
      </c>
      <c r="B13" s="435"/>
      <c r="C13" s="437" t="s">
        <v>1739</v>
      </c>
      <c r="D13" s="378"/>
    </row>
    <row r="14" spans="1:5" ht="14.25" customHeight="1">
      <c r="A14"/>
    </row>
    <row r="15" spans="1:5" ht="14.25" customHeight="1">
      <c r="A15"/>
    </row>
    <row r="16" spans="1:5" ht="14.25" customHeight="1">
      <c r="A16"/>
    </row>
    <row r="17" spans="1:1" ht="14.25" customHeight="1">
      <c r="A17"/>
    </row>
    <row r="18" spans="1:1" ht="14.25" customHeight="1">
      <c r="A18"/>
    </row>
  </sheetData>
  <mergeCells count="1">
    <mergeCell ref="A1:D1"/>
  </mergeCells>
  <phoneticPr fontId="1" type="noConversion"/>
  <dataValidations count="10">
    <dataValidation type="list" allowBlank="1" showInputMessage="1" showErrorMessage="1" sqref="B2">
      <formula1>"请选择,一年,二年,三年,四年,五年"</formula1>
    </dataValidation>
    <dataValidation type="list" allowBlank="1" showInputMessage="1" showErrorMessage="1" sqref="D2">
      <formula1>"请选择,是,否"</formula1>
    </dataValidation>
    <dataValidation type="whole" allowBlank="1" showInputMessage="1" showErrorMessage="1" error="输入的年份无效！" sqref="B4:B8">
      <formula1>1990</formula1>
      <formula2>2050</formula2>
    </dataValidation>
    <dataValidation type="decimal" operator="notEqual" allowBlank="1" showInputMessage="1" showErrorMessage="1" error="输入金额无效！" sqref="C4 C8">
      <formula1>-999999999</formula1>
    </dataValidation>
    <dataValidation type="decimal" operator="notEqual" allowBlank="1" showInputMessage="1" showErrorMessage="1" error="输入金额无效！" sqref="C5">
      <formula1>-999999</formula1>
    </dataValidation>
    <dataValidation type="decimal" operator="notEqual" allowBlank="1" showInputMessage="1" showErrorMessage="1" error="输入金额无效！" sqref="C6">
      <formula1>-99999999</formula1>
    </dataValidation>
    <dataValidation type="decimal" operator="notEqual" allowBlank="1" showInputMessage="1" showErrorMessage="1" sqref="C7">
      <formula1>-99999999</formula1>
    </dataValidation>
    <dataValidation type="whole" operator="greaterThanOrEqual" allowBlank="1" showInputMessage="1" showErrorMessage="1" error="人数必须是正整数！" sqref="D4:D5">
      <formula1>1</formula1>
    </dataValidation>
    <dataValidation type="whole" operator="greaterThan" allowBlank="1" showInputMessage="1" showErrorMessage="1" error="人数必须是正整数！" sqref="D6:D8">
      <formula1>0</formula1>
    </dataValidation>
    <dataValidation type="list" allowBlank="1" showInputMessage="1" showErrorMessage="1" sqref="B12">
      <formula1>"请选择,无保留意见,保留意见,无保留意见带强调事项,否定意见,无法表示意见"</formula1>
    </dataValidation>
  </dataValidations>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B3"/>
  <sheetViews>
    <sheetView workbookViewId="0">
      <selection activeCell="B3" sqref="B3"/>
    </sheetView>
  </sheetViews>
  <sheetFormatPr defaultRowHeight="14"/>
  <cols>
    <col min="1" max="1" width="24.08984375" customWidth="1"/>
    <col min="2" max="2" width="28.6328125" customWidth="1"/>
  </cols>
  <sheetData>
    <row r="1" spans="1:2" ht="20.149999999999999" customHeight="1">
      <c r="A1" s="737" t="s">
        <v>1947</v>
      </c>
      <c r="B1" s="753"/>
    </row>
    <row r="2" spans="1:2">
      <c r="A2" s="587" t="s">
        <v>2156</v>
      </c>
      <c r="B2" s="444"/>
    </row>
    <row r="3" spans="1:2">
      <c r="A3" s="436" t="s">
        <v>2157</v>
      </c>
      <c r="B3" s="582"/>
    </row>
  </sheetData>
  <mergeCells count="1">
    <mergeCell ref="A1:B1"/>
  </mergeCells>
  <phoneticPr fontId="1" type="noConversion"/>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G63"/>
  <sheetViews>
    <sheetView workbookViewId="0">
      <selection sqref="A1:D1"/>
    </sheetView>
  </sheetViews>
  <sheetFormatPr defaultColWidth="9" defaultRowHeight="14.25" customHeight="1"/>
  <cols>
    <col min="1" max="1" width="37.453125" style="368" customWidth="1"/>
    <col min="2" max="2" width="21.6328125" style="368" customWidth="1"/>
    <col min="3" max="3" width="41.08984375" style="368" customWidth="1"/>
    <col min="4" max="4" width="21.6328125" style="368" customWidth="1"/>
    <col min="5" max="6" width="9" style="368"/>
    <col min="7" max="7" width="0" style="368" hidden="1" customWidth="1"/>
    <col min="8" max="16384" width="9" style="368"/>
  </cols>
  <sheetData>
    <row r="1" spans="1:7" ht="14.25" customHeight="1">
      <c r="A1" s="749" t="s">
        <v>1947</v>
      </c>
      <c r="B1" s="750"/>
      <c r="C1" s="750"/>
      <c r="D1" s="750"/>
    </row>
    <row r="2" spans="1:7" ht="14.25" customHeight="1">
      <c r="A2" s="384" t="s">
        <v>1948</v>
      </c>
      <c r="B2" s="573"/>
      <c r="C2" s="382" t="s">
        <v>1954</v>
      </c>
      <c r="D2" s="582"/>
      <c r="G2" s="368">
        <v>1980</v>
      </c>
    </row>
    <row r="3" spans="1:7" ht="14.25" customHeight="1">
      <c r="A3" s="382" t="s">
        <v>1949</v>
      </c>
      <c r="B3" s="573"/>
      <c r="C3" s="382" t="s">
        <v>1955</v>
      </c>
      <c r="D3" s="582"/>
      <c r="G3" s="368">
        <v>1981</v>
      </c>
    </row>
    <row r="4" spans="1:7" ht="14.25" customHeight="1">
      <c r="A4" s="382" t="s">
        <v>1950</v>
      </c>
      <c r="B4" s="573"/>
      <c r="C4" s="382" t="s">
        <v>1956</v>
      </c>
      <c r="D4" s="582"/>
      <c r="G4" s="368">
        <v>1982</v>
      </c>
    </row>
    <row r="5" spans="1:7" ht="14.25" customHeight="1">
      <c r="A5" s="382" t="s">
        <v>1951</v>
      </c>
      <c r="B5" s="573"/>
      <c r="C5" s="382" t="s">
        <v>1957</v>
      </c>
      <c r="D5" s="582"/>
      <c r="G5" s="368">
        <v>1983</v>
      </c>
    </row>
    <row r="6" spans="1:7" ht="14.25" customHeight="1">
      <c r="A6" s="382" t="s">
        <v>1952</v>
      </c>
      <c r="B6" s="573"/>
      <c r="C6" s="382" t="s">
        <v>1958</v>
      </c>
      <c r="D6" s="582"/>
      <c r="G6" s="368">
        <v>1984</v>
      </c>
    </row>
    <row r="7" spans="1:7" ht="14.25" customHeight="1">
      <c r="A7" s="382" t="s">
        <v>1953</v>
      </c>
      <c r="B7" s="573"/>
      <c r="C7" s="382" t="s">
        <v>1959</v>
      </c>
      <c r="D7" s="582"/>
      <c r="G7" s="368">
        <v>1985</v>
      </c>
    </row>
    <row r="8" spans="1:7" ht="14.25" customHeight="1">
      <c r="A8" s="432" t="s">
        <v>1960</v>
      </c>
      <c r="B8" s="490">
        <v>2018</v>
      </c>
      <c r="C8" s="386" t="s">
        <v>1962</v>
      </c>
      <c r="D8" s="433" t="s">
        <v>1682</v>
      </c>
      <c r="G8" s="368">
        <v>1986</v>
      </c>
    </row>
    <row r="9" spans="1:7" ht="14.25" customHeight="1">
      <c r="A9" s="381" t="s">
        <v>1961</v>
      </c>
      <c r="B9" s="378"/>
      <c r="C9" s="381" t="s">
        <v>1963</v>
      </c>
      <c r="D9" s="378"/>
      <c r="G9" s="368">
        <v>1987</v>
      </c>
    </row>
    <row r="10" spans="1:7" ht="14.25" customHeight="1">
      <c r="G10" s="368">
        <v>1988</v>
      </c>
    </row>
    <row r="11" spans="1:7" ht="14.25" customHeight="1">
      <c r="G11" s="368">
        <v>1989</v>
      </c>
    </row>
    <row r="12" spans="1:7" ht="14.25" customHeight="1">
      <c r="G12" s="368">
        <v>1990</v>
      </c>
    </row>
    <row r="13" spans="1:7" ht="14.25" customHeight="1">
      <c r="G13" s="368">
        <v>1991</v>
      </c>
    </row>
    <row r="14" spans="1:7" ht="14.25" customHeight="1">
      <c r="G14" s="368">
        <v>1992</v>
      </c>
    </row>
    <row r="15" spans="1:7" ht="14.25" customHeight="1">
      <c r="G15" s="368">
        <v>1993</v>
      </c>
    </row>
    <row r="16" spans="1:7" ht="14.25" customHeight="1">
      <c r="G16" s="368">
        <v>1994</v>
      </c>
    </row>
    <row r="17" spans="7:7" ht="14.25" customHeight="1">
      <c r="G17" s="368">
        <v>1995</v>
      </c>
    </row>
    <row r="18" spans="7:7" ht="14.25" customHeight="1">
      <c r="G18" s="368">
        <v>1996</v>
      </c>
    </row>
    <row r="19" spans="7:7" ht="14.25" customHeight="1">
      <c r="G19" s="368">
        <v>1997</v>
      </c>
    </row>
    <row r="20" spans="7:7" ht="14.25" customHeight="1">
      <c r="G20" s="368">
        <v>1998</v>
      </c>
    </row>
    <row r="21" spans="7:7" ht="14.25" customHeight="1">
      <c r="G21" s="368">
        <v>1999</v>
      </c>
    </row>
    <row r="22" spans="7:7" ht="14.25" customHeight="1">
      <c r="G22" s="368">
        <v>2000</v>
      </c>
    </row>
    <row r="23" spans="7:7" ht="14.25" customHeight="1">
      <c r="G23" s="368">
        <v>2001</v>
      </c>
    </row>
    <row r="24" spans="7:7" ht="14.25" customHeight="1">
      <c r="G24" s="368">
        <v>2002</v>
      </c>
    </row>
    <row r="25" spans="7:7" ht="14.25" customHeight="1">
      <c r="G25" s="368">
        <v>2003</v>
      </c>
    </row>
    <row r="26" spans="7:7" ht="14.25" customHeight="1">
      <c r="G26" s="368">
        <v>2004</v>
      </c>
    </row>
    <row r="27" spans="7:7" ht="14.25" customHeight="1">
      <c r="G27" s="368">
        <v>2005</v>
      </c>
    </row>
    <row r="28" spans="7:7" ht="14.25" customHeight="1">
      <c r="G28" s="368">
        <v>2006</v>
      </c>
    </row>
    <row r="29" spans="7:7" ht="14.25" customHeight="1">
      <c r="G29" s="368">
        <v>2007</v>
      </c>
    </row>
    <row r="30" spans="7:7" ht="14.25" customHeight="1">
      <c r="G30" s="368">
        <v>2008</v>
      </c>
    </row>
    <row r="31" spans="7:7" ht="14.25" customHeight="1">
      <c r="G31" s="368">
        <v>2009</v>
      </c>
    </row>
    <row r="32" spans="7:7" ht="14.25" customHeight="1">
      <c r="G32" s="368">
        <v>2010</v>
      </c>
    </row>
    <row r="33" spans="7:7" ht="14.25" customHeight="1">
      <c r="G33" s="368">
        <v>2011</v>
      </c>
    </row>
    <row r="34" spans="7:7" ht="14.25" customHeight="1">
      <c r="G34" s="368">
        <v>2012</v>
      </c>
    </row>
    <row r="35" spans="7:7" ht="14.25" customHeight="1">
      <c r="G35" s="368">
        <v>2013</v>
      </c>
    </row>
    <row r="36" spans="7:7" ht="14.25" customHeight="1">
      <c r="G36" s="368">
        <v>2014</v>
      </c>
    </row>
    <row r="37" spans="7:7" ht="14.25" customHeight="1">
      <c r="G37" s="368">
        <v>2015</v>
      </c>
    </row>
    <row r="38" spans="7:7" ht="14.25" customHeight="1">
      <c r="G38" s="368">
        <v>2016</v>
      </c>
    </row>
    <row r="39" spans="7:7" ht="14.25" customHeight="1">
      <c r="G39" s="368">
        <v>2017</v>
      </c>
    </row>
    <row r="40" spans="7:7" ht="14.25" customHeight="1">
      <c r="G40" s="368">
        <v>2018</v>
      </c>
    </row>
    <row r="41" spans="7:7" ht="14.25" customHeight="1">
      <c r="G41" s="368">
        <v>2019</v>
      </c>
    </row>
    <row r="42" spans="7:7" ht="14.25" customHeight="1">
      <c r="G42" s="368">
        <v>2020</v>
      </c>
    </row>
    <row r="43" spans="7:7" ht="14.25" customHeight="1">
      <c r="G43" s="368">
        <v>2021</v>
      </c>
    </row>
    <row r="44" spans="7:7" ht="14.25" customHeight="1">
      <c r="G44" s="368">
        <v>2022</v>
      </c>
    </row>
    <row r="45" spans="7:7" ht="14.25" customHeight="1">
      <c r="G45" s="368">
        <v>2023</v>
      </c>
    </row>
    <row r="46" spans="7:7" ht="14.25" customHeight="1">
      <c r="G46" s="368">
        <v>2024</v>
      </c>
    </row>
    <row r="47" spans="7:7" ht="14.25" customHeight="1">
      <c r="G47" s="368">
        <v>2025</v>
      </c>
    </row>
    <row r="48" spans="7:7" ht="14.25" customHeight="1">
      <c r="G48" s="368">
        <v>2026</v>
      </c>
    </row>
    <row r="49" spans="1:7" ht="14.25" customHeight="1">
      <c r="G49" s="368">
        <v>2027</v>
      </c>
    </row>
    <row r="50" spans="1:7" ht="14.25" customHeight="1">
      <c r="G50" s="368">
        <v>2028</v>
      </c>
    </row>
    <row r="51" spans="1:7" ht="14.25" customHeight="1">
      <c r="G51" s="368">
        <v>2029</v>
      </c>
    </row>
    <row r="52" spans="1:7" ht="14.25" customHeight="1">
      <c r="G52" s="368">
        <v>2030</v>
      </c>
    </row>
    <row r="53" spans="1:7" ht="14.25" customHeight="1">
      <c r="G53" s="368">
        <v>2031</v>
      </c>
    </row>
    <row r="63" spans="1:7" ht="14.25" customHeight="1">
      <c r="A63" s="368">
        <v>2032</v>
      </c>
    </row>
  </sheetData>
  <sheetProtection selectLockedCells="1"/>
  <mergeCells count="1">
    <mergeCell ref="A1:D1"/>
  </mergeCells>
  <phoneticPr fontId="1" type="noConversion"/>
  <dataValidations count="4">
    <dataValidation type="decimal" operator="notEqual" allowBlank="1" showInputMessage="1" showErrorMessage="1" error="金额格式输入不正确！" sqref="D2:D7">
      <formula1>-9999999999</formula1>
    </dataValidation>
    <dataValidation type="decimal" operator="notEqual" allowBlank="1" showInputMessage="1" showErrorMessage="1" error="金额格式输入不正确！" sqref="B2:B7">
      <formula1>-99999999999999</formula1>
    </dataValidation>
    <dataValidation type="list" allowBlank="1" showInputMessage="1" showErrorMessage="1" sqref="B8">
      <formula1>$G$2:$G$53</formula1>
    </dataValidation>
    <dataValidation type="list" allowBlank="1" showInputMessage="1" showErrorMessage="1" sqref="D8">
      <formula1>"请选择,无保留意见,保留意见,无保留意见带强调事项,否定意见,无法表示意见"</formula1>
    </dataValidation>
  </dataValidations>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D6"/>
  <sheetViews>
    <sheetView workbookViewId="0">
      <selection activeCell="B18" sqref="B18"/>
    </sheetView>
  </sheetViews>
  <sheetFormatPr defaultRowHeight="14.25" customHeight="1"/>
  <cols>
    <col min="1" max="1" width="27.90625" customWidth="1"/>
    <col min="2" max="2" width="20.6328125" customWidth="1"/>
    <col min="3" max="3" width="27.08984375" customWidth="1"/>
    <col min="4" max="4" width="20.6328125" customWidth="1"/>
    <col min="5" max="5" width="43" customWidth="1"/>
    <col min="6" max="6" width="101" customWidth="1"/>
    <col min="9" max="9" width="20.6328125" customWidth="1"/>
    <col min="10" max="11" width="12.36328125" customWidth="1"/>
    <col min="12" max="12" width="37.90625" customWidth="1"/>
    <col min="13" max="13" width="65" customWidth="1"/>
  </cols>
  <sheetData>
    <row r="1" spans="1:4" ht="14.25" customHeight="1">
      <c r="A1" s="749" t="s">
        <v>1678</v>
      </c>
      <c r="B1" s="725"/>
      <c r="C1" s="725"/>
      <c r="D1" s="725"/>
    </row>
    <row r="2" spans="1:4" ht="14.25" customHeight="1">
      <c r="A2" s="384" t="s">
        <v>1716</v>
      </c>
      <c r="B2" s="754" t="s">
        <v>1842</v>
      </c>
      <c r="C2" s="755"/>
      <c r="D2" s="756"/>
    </row>
    <row r="3" spans="1:4" ht="14.25" customHeight="1">
      <c r="A3" s="384" t="s">
        <v>1717</v>
      </c>
      <c r="B3" s="134" t="s">
        <v>1706</v>
      </c>
      <c r="C3" s="384" t="s">
        <v>1756</v>
      </c>
      <c r="D3" s="423">
        <v>42350</v>
      </c>
    </row>
    <row r="4" spans="1:4" ht="14.25" customHeight="1">
      <c r="A4" s="384" t="s">
        <v>1720</v>
      </c>
      <c r="B4" s="134">
        <v>111</v>
      </c>
      <c r="C4" s="384" t="s">
        <v>1718</v>
      </c>
      <c r="D4" s="134">
        <v>333</v>
      </c>
    </row>
    <row r="5" spans="1:4" ht="14.25" customHeight="1">
      <c r="A5" s="384" t="s">
        <v>1757</v>
      </c>
      <c r="B5" s="134">
        <v>222</v>
      </c>
      <c r="C5" s="384" t="s">
        <v>1758</v>
      </c>
      <c r="D5" s="134">
        <v>444</v>
      </c>
    </row>
    <row r="6" spans="1:4" ht="14.25" customHeight="1">
      <c r="A6" s="384" t="s">
        <v>1722</v>
      </c>
      <c r="B6" s="134" t="s">
        <v>1843</v>
      </c>
      <c r="C6" s="384" t="s">
        <v>1715</v>
      </c>
      <c r="D6" s="134">
        <v>555</v>
      </c>
    </row>
  </sheetData>
  <mergeCells count="2">
    <mergeCell ref="A1:D1"/>
    <mergeCell ref="B2:D2"/>
  </mergeCells>
  <phoneticPr fontId="1" type="noConversion"/>
  <dataValidations count="9">
    <dataValidation type="decimal" operator="notEqual" allowBlank="1" showInputMessage="1" showErrorMessage="1" error="请输入的数字类型格式的金额！" prompt="填报审计项目（对象）上述指标之外，其他重要的定量指标的金额。" sqref="D6">
      <formula1>-999999999999999000</formula1>
    </dataValidation>
    <dataValidation allowBlank="1" showInputMessage="1" showErrorMessage="1" prompt="填报审计项目（对象）上述指标之外，其他重要的定量指标的名称。" sqref="B6"/>
    <dataValidation type="decimal" operator="notEqual" allowBlank="1" showInputMessage="1" showErrorMessage="1" error="请输入的数字类型格式的金额！" prompt="填报被鉴证单位审计期内向海关申报的一般贸易方式之外，其他贸易方式进口的金额。" sqref="D5">
      <formula1>-999999999999999000</formula1>
    </dataValidation>
    <dataValidation type="decimal" operator="notEqual" allowBlank="1" showInputMessage="1" showErrorMessage="1" error="请输入的数字类型格式的金额！" prompt="填报被鉴证单位审计期内向海关申报的一般贸易方式之外，其他贸易方式出口的金额。" sqref="B5">
      <formula1>-99999999999999900</formula1>
    </dataValidation>
    <dataValidation type="decimal" operator="notEqual" allowBlank="1" showInputMessage="1" showErrorMessage="1" error="请输入的数字类型格式的金额！" prompt="填报被鉴证单位审计期内向海关申报的一般贸易方式进口的金额。" sqref="D4">
      <formula1>-999999999999999000</formula1>
    </dataValidation>
    <dataValidation type="decimal" operator="notEqual" allowBlank="1" showInputMessage="1" showErrorMessage="1" error="请输入的数字类型格式的金额！" prompt="填报被鉴证单位审计期内向海关申报的一般贸易方式出口的金额。" sqref="B4">
      <formula1>-9999999999999990</formula1>
    </dataValidation>
    <dataValidation type="list" allowBlank="1" showInputMessage="1" showErrorMessage="1" sqref="B3">
      <formula1>"请选择,是,否"</formula1>
    </dataValidation>
    <dataValidation type="date" operator="notEqual" allowBlank="1" showInputMessage="1" showErrorMessage="1" error="格式有误，请输入如“2017-01-01”的日期格式！" prompt="根据与委托方签订的业务约定书约定的审计范围及其他相关文件等分析填报" sqref="D3">
      <formula1>1</formula1>
    </dataValidation>
    <dataValidation allowBlank="1" showInputMessage="1" showErrorMessage="1" prompt="根据与委托方签订的业务约定书约定的审计范围等分析填报" sqref="B2"/>
  </dataValidations>
  <pageMargins left="0.7" right="0.7" top="0.75" bottom="0.75" header="0.3" footer="0.3"/>
  <pageSetup paperSize="9" orientation="portrait" horizontalDpi="180" verticalDpi="180"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D5"/>
  <sheetViews>
    <sheetView workbookViewId="0">
      <selection activeCell="E43" sqref="E43"/>
    </sheetView>
  </sheetViews>
  <sheetFormatPr defaultRowHeight="14.25" customHeight="1"/>
  <cols>
    <col min="1" max="1" width="21.08984375" customWidth="1"/>
    <col min="2" max="2" width="19.26953125" customWidth="1"/>
    <col min="3" max="3" width="23.453125" customWidth="1"/>
    <col min="4" max="4" width="26.6328125" customWidth="1"/>
    <col min="5" max="5" width="68.7265625" customWidth="1"/>
  </cols>
  <sheetData>
    <row r="1" spans="1:4" ht="14.25" customHeight="1">
      <c r="A1" s="749" t="s">
        <v>1678</v>
      </c>
      <c r="B1" s="725"/>
      <c r="C1" s="725"/>
      <c r="D1" s="725"/>
    </row>
    <row r="2" spans="1:4" ht="14.25" customHeight="1">
      <c r="A2" s="382" t="s">
        <v>1716</v>
      </c>
      <c r="B2" s="376"/>
      <c r="C2" s="382" t="s">
        <v>1751</v>
      </c>
      <c r="D2" s="376"/>
    </row>
    <row r="3" spans="1:4" ht="14.25" customHeight="1">
      <c r="A3" s="382" t="s">
        <v>1752</v>
      </c>
      <c r="B3" s="376"/>
      <c r="C3" s="382" t="s">
        <v>1753</v>
      </c>
      <c r="D3" s="376"/>
    </row>
    <row r="4" spans="1:4" ht="14.25" customHeight="1">
      <c r="A4" s="382" t="s">
        <v>1754</v>
      </c>
      <c r="B4" s="376"/>
      <c r="C4" s="382" t="s">
        <v>1755</v>
      </c>
      <c r="D4" s="376"/>
    </row>
    <row r="5" spans="1:4" ht="14.25" customHeight="1">
      <c r="A5" s="382" t="s">
        <v>1722</v>
      </c>
      <c r="B5" s="376"/>
      <c r="C5" s="382" t="s">
        <v>1715</v>
      </c>
      <c r="D5" s="376"/>
    </row>
  </sheetData>
  <mergeCells count="1">
    <mergeCell ref="A1:D1"/>
  </mergeCells>
  <phoneticPr fontId="1" type="noConversion"/>
  <dataValidations count="8">
    <dataValidation allowBlank="1" showInputMessage="1" showErrorMessage="1" prompt="根据与委托方签订的业务约定书约定的审计范围等分析填报" sqref="B2"/>
    <dataValidation type="date" operator="notEqual" allowBlank="1" showInputMessage="1" showErrorMessage="1" error="格式有误，请输入如“2017-01-01”的日期格式！" prompt="根据与委托方签订的业务约定书约定的审计范围及其他相关文件等分析填报" sqref="D2">
      <formula1>1</formula1>
    </dataValidation>
    <dataValidation type="decimal" operator="notEqual" allowBlank="1" showInputMessage="1" showErrorMessage="1" error="请输入的数字类型格式的金额！" prompt="填报审计项目（对象）形成的收入" sqref="B3">
      <formula1>-999999999999999</formula1>
    </dataValidation>
    <dataValidation type="decimal" operator="notEqual" allowBlank="1" showInputMessage="1" showErrorMessage="1" error="请输入的数字类型格式的金额！" prompt="填报审计项目（对象）形成的支出（费用）" sqref="D3">
      <formula1>-99999999999999900</formula1>
    </dataValidation>
    <dataValidation type="decimal" operator="notEqual" allowBlank="1" showInputMessage="1" showErrorMessage="1" error="请输入的数字类型格式的金额！" prompt="填报审计项目（对象）形成的利润，等于前两项金额的差。" sqref="B4">
      <formula1>-9999999999999990000</formula1>
    </dataValidation>
    <dataValidation type="decimal" operator="notEqual" allowBlank="1" showInputMessage="1" showErrorMessage="1" error="请输入的数字类型格式的金额！" prompt="填报审计项目（对象）形成的净资产余额。" sqref="D4">
      <formula1>-99999999999</formula1>
    </dataValidation>
    <dataValidation allowBlank="1" showInputMessage="1" showErrorMessage="1" prompt="填报审计项目（对象）上述指标之外，其他重要的定量指标的名称。" sqref="B5"/>
    <dataValidation type="decimal" operator="notEqual" allowBlank="1" showInputMessage="1" showErrorMessage="1" error="请输入的数字类型格式的金额！" prompt="填报审计项目（对象）上述指标之外，其他重要的定量指标的金额。" sqref="D5">
      <formula1>-999999999999</formula1>
    </dataValidation>
  </dataValidations>
  <pageMargins left="0.7" right="0.7" top="0.75" bottom="0.75" header="0.3" footer="0.3"/>
  <pageSetup paperSize="9" orientation="portrait" horizontalDpi="180" verticalDpi="180"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D4"/>
  <sheetViews>
    <sheetView workbookViewId="0">
      <selection activeCell="D39" sqref="D39"/>
    </sheetView>
  </sheetViews>
  <sheetFormatPr defaultRowHeight="14"/>
  <cols>
    <col min="1" max="1" width="30.453125" customWidth="1"/>
    <col min="2" max="2" width="23.26953125" customWidth="1"/>
    <col min="3" max="3" width="28.08984375" customWidth="1"/>
    <col min="4" max="4" width="28.6328125" customWidth="1"/>
  </cols>
  <sheetData>
    <row r="1" spans="1:4">
      <c r="A1" s="749" t="s">
        <v>1759</v>
      </c>
      <c r="B1" s="725"/>
      <c r="C1" s="725"/>
      <c r="D1" s="725"/>
    </row>
    <row r="2" spans="1:4">
      <c r="A2" s="382" t="s">
        <v>1741</v>
      </c>
      <c r="B2" s="376"/>
      <c r="C2" s="382" t="s">
        <v>1742</v>
      </c>
      <c r="D2" s="376"/>
    </row>
    <row r="3" spans="1:4">
      <c r="A3" s="382" t="s">
        <v>1744</v>
      </c>
      <c r="B3" s="376" t="s">
        <v>1682</v>
      </c>
      <c r="C3" s="382" t="s">
        <v>1743</v>
      </c>
      <c r="D3" s="376"/>
    </row>
    <row r="4" spans="1:4">
      <c r="A4" s="382" t="s">
        <v>1745</v>
      </c>
      <c r="B4" s="376"/>
      <c r="C4" s="382" t="s">
        <v>1746</v>
      </c>
      <c r="D4" s="376"/>
    </row>
  </sheetData>
  <mergeCells count="1">
    <mergeCell ref="A1:D1"/>
  </mergeCells>
  <phoneticPr fontId="1" type="noConversion"/>
  <dataValidations count="5">
    <dataValidation type="list" allowBlank="1" showInputMessage="1" showErrorMessage="1" sqref="B3">
      <formula1>"请选择,是,否"</formula1>
    </dataValidation>
    <dataValidation type="decimal" operator="notEqual" allowBlank="1" showInputMessage="1" showErrorMessage="1" error="请输入的数字类型格式的金额！" prompt="填报任职期末资产负债表净资产金额" sqref="D4">
      <formula1>-99999999999999</formula1>
    </dataValidation>
    <dataValidation type="decimal" operator="notEqual" allowBlank="1" showInputMessage="1" showErrorMessage="1" error="请输入的数字类型格式的金额！" prompt="填报任职期初资产负债表净资产金额" sqref="B4">
      <formula1>-99999999999999900</formula1>
    </dataValidation>
    <dataValidation type="date" operator="notEqual" allowBlank="1" showInputMessage="1" showErrorMessage="1" error="格式有误，请输入如“2017-01-01”的日期格式！" prompt="根据委托方提供的任职文件、其他资料或签订的业务约定书分析填报" sqref="D2">
      <formula1>1</formula1>
    </dataValidation>
    <dataValidation allowBlank="1" showInputMessage="1" showErrorMessage="1" prompt="根据委托方提供的任职文件、其他资料或签订的业务约定书分析填报" sqref="B2"/>
  </dataValidations>
  <pageMargins left="0.7" right="0.7" top="0.75" bottom="0.75" header="0.3" footer="0.3"/>
  <pageSetup paperSize="9" orientation="portrait" horizontalDpi="180" verticalDpi="180"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B2"/>
  <sheetViews>
    <sheetView workbookViewId="0">
      <selection activeCell="D27" sqref="D27"/>
    </sheetView>
  </sheetViews>
  <sheetFormatPr defaultRowHeight="14"/>
  <cols>
    <col min="1" max="1" width="19.26953125" customWidth="1"/>
    <col min="2" max="2" width="21.26953125" customWidth="1"/>
  </cols>
  <sheetData>
    <row r="1" spans="1:2">
      <c r="A1" s="737" t="s">
        <v>1759</v>
      </c>
      <c r="B1" s="753"/>
    </row>
    <row r="2" spans="1:2">
      <c r="A2" s="384" t="s">
        <v>1841</v>
      </c>
      <c r="B2" s="383"/>
    </row>
  </sheetData>
  <mergeCells count="1">
    <mergeCell ref="A1:B1"/>
  </mergeCells>
  <phoneticPr fontId="1" type="noConversion"/>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D2"/>
  <sheetViews>
    <sheetView workbookViewId="0">
      <selection activeCell="D2" sqref="D2"/>
    </sheetView>
  </sheetViews>
  <sheetFormatPr defaultRowHeight="14"/>
  <cols>
    <col min="1" max="1" width="15.6328125" customWidth="1"/>
    <col min="2" max="2" width="19.08984375" customWidth="1"/>
    <col min="3" max="3" width="17.08984375" customWidth="1"/>
    <col min="4" max="4" width="17.26953125" customWidth="1"/>
  </cols>
  <sheetData>
    <row r="1" spans="1:4">
      <c r="A1" s="743" t="s">
        <v>1678</v>
      </c>
      <c r="B1" s="757"/>
      <c r="C1" s="758"/>
      <c r="D1" s="758"/>
    </row>
    <row r="2" spans="1:4">
      <c r="A2" s="418" t="s">
        <v>1868</v>
      </c>
      <c r="B2" s="491"/>
      <c r="C2" s="384" t="s">
        <v>2051</v>
      </c>
      <c r="D2" s="582"/>
    </row>
  </sheetData>
  <sheetProtection selectLockedCells="1"/>
  <mergeCells count="1">
    <mergeCell ref="A1:D1"/>
  </mergeCells>
  <phoneticPr fontId="1" type="noConversion"/>
  <dataValidations count="1">
    <dataValidation type="decimal" operator="notEqual" allowBlank="1" showInputMessage="1" showErrorMessage="1" error="金额格式输入错误！" sqref="D2">
      <formula1>-99999999999999900</formula1>
    </dataValidation>
  </dataValidations>
  <pageMargins left="0.7" right="0.7" top="0.75" bottom="0.75" header="0.3" footer="0.3"/>
  <pageSetup paperSize="9"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D5"/>
  <sheetViews>
    <sheetView workbookViewId="0">
      <selection activeCell="B3" sqref="B3"/>
    </sheetView>
  </sheetViews>
  <sheetFormatPr defaultRowHeight="14.25" customHeight="1"/>
  <cols>
    <col min="1" max="1" width="20.6328125" customWidth="1"/>
    <col min="2" max="2" width="30.6328125" customWidth="1"/>
    <col min="3" max="3" width="22.90625" customWidth="1"/>
    <col min="4" max="4" width="30.6328125" customWidth="1"/>
    <col min="5" max="5" width="34.08984375" customWidth="1"/>
    <col min="6" max="6" width="22" customWidth="1"/>
  </cols>
  <sheetData>
    <row r="1" spans="1:4" ht="14.25" customHeight="1">
      <c r="A1" s="743" t="s">
        <v>1678</v>
      </c>
      <c r="B1" s="757"/>
      <c r="C1" s="745"/>
      <c r="D1" s="745"/>
    </row>
    <row r="2" spans="1:4" ht="14.25" customHeight="1">
      <c r="A2" s="384" t="s">
        <v>1939</v>
      </c>
      <c r="B2" s="482"/>
      <c r="C2" s="384" t="s">
        <v>1940</v>
      </c>
      <c r="D2" s="643"/>
    </row>
    <row r="3" spans="1:4" ht="14.25" customHeight="1">
      <c r="A3" s="382" t="s">
        <v>1941</v>
      </c>
      <c r="B3" s="583"/>
      <c r="C3" s="382" t="s">
        <v>1942</v>
      </c>
      <c r="D3" s="642"/>
    </row>
    <row r="4" spans="1:4" ht="14.25" customHeight="1">
      <c r="A4" s="382" t="s">
        <v>1943</v>
      </c>
      <c r="B4" s="583"/>
      <c r="C4" s="382" t="s">
        <v>1945</v>
      </c>
      <c r="D4" s="642"/>
    </row>
    <row r="5" spans="1:4" ht="14.25" customHeight="1">
      <c r="A5" s="382" t="s">
        <v>1944</v>
      </c>
      <c r="B5" s="482"/>
      <c r="C5" s="382" t="s">
        <v>1946</v>
      </c>
      <c r="D5" s="642"/>
    </row>
  </sheetData>
  <sheetProtection selectLockedCells="1"/>
  <mergeCells count="1">
    <mergeCell ref="A1:D1"/>
  </mergeCells>
  <phoneticPr fontId="1" type="noConversion"/>
  <dataValidations count="8">
    <dataValidation allowBlank="1" showInputMessage="1" showErrorMessage="1" prompt="根据与委托方签订的业务约定书约定的鉴证范围等分析填报" sqref="B2"/>
    <dataValidation allowBlank="1" showInputMessage="1" showErrorMessage="1" prompt="根据与委托方签订的业务约定书约定的鉴证范围及其他相关文件等分析填报" sqref="D2"/>
    <dataValidation type="decimal" operator="notEqual" allowBlank="1" showInputMessage="1" showErrorMessage="1" error="金额输入格式不正确！" prompt="填报鉴证项目（对象）形成的收入填报" sqref="B3">
      <formula1>-999999999999</formula1>
    </dataValidation>
    <dataValidation type="decimal" operator="notEqual" allowBlank="1" showInputMessage="1" showErrorMessage="1" error="金额输入格式不正确！" prompt="填报鉴证项目（对象）形成的支出（费用）填报" sqref="D3">
      <formula1>-999999999999999</formula1>
    </dataValidation>
    <dataValidation type="decimal" operator="notEqual" allowBlank="1" showInputMessage="1" showErrorMessage="1" error="金额输入格式不正确！" prompt="填报鉴证项目（对象）形成的利润，等于前两项金额的差。" sqref="B4">
      <formula1>-9999999999999990</formula1>
    </dataValidation>
    <dataValidation type="decimal" operator="notEqual" allowBlank="1" showInputMessage="1" showErrorMessage="1" error="金额输入格式不正确！" prompt="填报鉴证项目（对象）形成的净资产余额。" sqref="D4">
      <formula1>-999999999999</formula1>
    </dataValidation>
    <dataValidation operator="notEqual" allowBlank="1" showInputMessage="1" showErrorMessage="1" prompt="填报鉴证项目（对象）上述指标之外，其他重要的定量指标的名称。" sqref="B5"/>
    <dataValidation type="decimal" operator="notEqual" allowBlank="1" showInputMessage="1" showErrorMessage="1" error="金额输入格式不正确！" prompt="填报鉴证项目（对象）上述指标之外，其他重要的定量指标的金额。" sqref="D5">
      <formula1>-99999999999999900</formula1>
    </dataValidation>
  </dataValidations>
  <pageMargins left="0.7" right="0.7" top="0.75" bottom="0.75" header="0.3" footer="0.3"/>
  <pageSetup paperSize="9"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D10"/>
  <sheetViews>
    <sheetView workbookViewId="0">
      <selection activeCell="B2" sqref="B2"/>
    </sheetView>
  </sheetViews>
  <sheetFormatPr defaultRowHeight="14"/>
  <cols>
    <col min="1" max="1" width="23.6328125" customWidth="1"/>
    <col min="2" max="2" width="25.6328125" customWidth="1"/>
    <col min="3" max="3" width="20.7265625" customWidth="1"/>
    <col min="4" max="4" width="25.6328125" customWidth="1"/>
    <col min="6" max="6" width="32.26953125" customWidth="1"/>
  </cols>
  <sheetData>
    <row r="1" spans="1:4">
      <c r="A1" s="737" t="s">
        <v>1678</v>
      </c>
      <c r="B1" s="738"/>
      <c r="C1" s="738"/>
      <c r="D1" s="724"/>
    </row>
    <row r="2" spans="1:4" ht="14.25" customHeight="1">
      <c r="A2" s="384" t="s">
        <v>1850</v>
      </c>
      <c r="B2" s="643"/>
      <c r="C2" s="384" t="s">
        <v>1859</v>
      </c>
      <c r="D2" s="482" t="s">
        <v>1682</v>
      </c>
    </row>
    <row r="3" spans="1:4" ht="14.25" customHeight="1">
      <c r="A3" s="384" t="s">
        <v>1851</v>
      </c>
      <c r="B3" s="482"/>
      <c r="C3" s="384" t="s">
        <v>1860</v>
      </c>
      <c r="D3" s="482" t="s">
        <v>1682</v>
      </c>
    </row>
    <row r="4" spans="1:4" ht="14.25" customHeight="1">
      <c r="A4" s="384" t="s">
        <v>1852</v>
      </c>
      <c r="B4" s="583"/>
      <c r="C4" s="384" t="s">
        <v>1861</v>
      </c>
      <c r="D4" s="583"/>
    </row>
    <row r="5" spans="1:4" ht="14.25" customHeight="1">
      <c r="A5" s="384" t="s">
        <v>1853</v>
      </c>
      <c r="B5" s="583"/>
      <c r="C5" s="384" t="s">
        <v>1862</v>
      </c>
      <c r="D5" s="583"/>
    </row>
    <row r="6" spans="1:4" ht="14.25" customHeight="1">
      <c r="A6" s="384" t="s">
        <v>1854</v>
      </c>
      <c r="B6" s="583"/>
      <c r="C6" s="384" t="s">
        <v>1863</v>
      </c>
      <c r="D6" s="583"/>
    </row>
    <row r="7" spans="1:4" ht="14.25" customHeight="1">
      <c r="A7" s="384" t="s">
        <v>1855</v>
      </c>
      <c r="B7" s="583"/>
      <c r="C7" s="384" t="s">
        <v>1864</v>
      </c>
      <c r="D7" s="583"/>
    </row>
    <row r="8" spans="1:4" ht="14.25" customHeight="1">
      <c r="A8" s="384" t="s">
        <v>1856</v>
      </c>
      <c r="B8" s="583"/>
      <c r="C8" s="384" t="s">
        <v>1865</v>
      </c>
      <c r="D8" s="583"/>
    </row>
    <row r="9" spans="1:4" ht="14.25" customHeight="1">
      <c r="A9" s="384" t="s">
        <v>1857</v>
      </c>
      <c r="B9" s="583"/>
      <c r="C9" s="384" t="s">
        <v>1866</v>
      </c>
      <c r="D9" s="572" t="s">
        <v>1682</v>
      </c>
    </row>
    <row r="10" spans="1:4" ht="14.25" customHeight="1">
      <c r="A10" s="381" t="s">
        <v>1858</v>
      </c>
      <c r="B10" s="482"/>
      <c r="C10" s="381" t="s">
        <v>1867</v>
      </c>
      <c r="D10" s="572"/>
    </row>
  </sheetData>
  <sheetProtection selectLockedCells="1"/>
  <mergeCells count="1">
    <mergeCell ref="A1:D1"/>
  </mergeCells>
  <phoneticPr fontId="1" type="noConversion"/>
  <dataValidations count="16">
    <dataValidation allowBlank="1" showInputMessage="1" showErrorMessage="1" prompt="填写实际审计期间" sqref="B2"/>
    <dataValidation type="list" allowBlank="1" showInputMessage="1" showErrorMessage="1" sqref="D2">
      <formula1>"请选择,查账征收,核定征收"</formula1>
    </dataValidation>
    <dataValidation allowBlank="1" showInputMessage="1" showErrorMessage="1" prompt="按所得税征收管理机关填写" sqref="B3"/>
    <dataValidation type="list" allowBlank="1" showInputMessage="1" showErrorMessage="1" sqref="D3">
      <formula1>"请选择,一般纳税人,小规模纳税人,非增值税纳税人"</formula1>
    </dataValidation>
    <dataValidation type="decimal" operator="notEqual" allowBlank="1" showInputMessage="1" showErrorMessage="1" error="金额格式输入不正确 ！" prompt="审核后主营业务收入总额" sqref="B4">
      <formula1>-999999999999999</formula1>
    </dataValidation>
    <dataValidation type="decimal" operator="notEqual" allowBlank="1" showInputMessage="1" showErrorMessage="1" error="金额格式输入不正确 ！" prompt="审核后收入总额" sqref="D4">
      <formula1>-999999999999</formula1>
    </dataValidation>
    <dataValidation type="decimal" operator="notEqual" allowBlank="1" showInputMessage="1" showErrorMessage="1" error="金额格式输入不正确 ！" prompt="审核后的资产总额" sqref="B5">
      <formula1>-999999999999999</formula1>
    </dataValidation>
    <dataValidation type="decimal" operator="notEqual" allowBlank="1" showInputMessage="1" showErrorMessage="1" error="金额格式输入不正确 ！" prompt="审核后的负债总额" sqref="D5">
      <formula1>-999999999</formula1>
    </dataValidation>
    <dataValidation type="decimal" operator="notEqual" allowBlank="1" showInputMessage="1" showErrorMessage="1" error="审核后的利润总额" sqref="B6">
      <formula1>-9999999999999</formula1>
    </dataValidation>
    <dataValidation type="decimal" operator="notEqual" allowBlank="1" showInputMessage="1" showErrorMessage="1" error="金额格式输入不正确 ！" prompt="调整增加填正数，调整减少填负数" sqref="D6">
      <formula1>-9.99999999999999E+21</formula1>
    </dataValidation>
    <dataValidation type="decimal" operator="notEqual" allowBlank="1" showInputMessage="1" showErrorMessage="1" error="金额格式输入不正确 ！" prompt="符合条件的免税、减计收入及加计扣除总计" sqref="B7">
      <formula1>-99999999999999900000</formula1>
    </dataValidation>
    <dataValidation type="decimal" operator="notEqual" allowBlank="1" showInputMessage="1" showErrorMessage="1" error="金额格式输入不正确 ！" prompt="减免或抵免所得税额" sqref="D7">
      <formula1>-999999999999999000</formula1>
    </dataValidation>
    <dataValidation type="decimal" operator="notEqual" allowBlank="1" showInputMessage="1" showErrorMessage="1" error="金额格式输入不正确 ！" prompt="弥补以前年度亏损额" sqref="B8">
      <formula1>-99999999999999900</formula1>
    </dataValidation>
    <dataValidation type="decimal" operator="notEqual" allowBlank="1" showInputMessage="1" showErrorMessage="1" error="金额格式输入不正确 ！" prompt="经审核后实际应纳企业所得税额" sqref="D8">
      <formula1>-999999999999999000</formula1>
    </dataValidation>
    <dataValidation type="decimal" operator="notEqual" allowBlank="1" showInputMessage="1" showErrorMessage="1" error="金额格式输入不正确 ！" prompt="应补填正数，应退填负数" sqref="B9">
      <formula1>-99999999999999</formula1>
    </dataValidation>
    <dataValidation type="list" allowBlank="1" showInputMessage="1" showErrorMessage="1" sqref="D9">
      <formula1>"请选择,无保留意见,保留意见,无保留意见带强调事项,否定意见,无法表示意见"</formula1>
    </dataValidation>
  </dataValidations>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D4"/>
  <sheetViews>
    <sheetView workbookViewId="0">
      <selection activeCell="C40" sqref="C40"/>
    </sheetView>
  </sheetViews>
  <sheetFormatPr defaultColWidth="9" defaultRowHeight="14.25" customHeight="1"/>
  <cols>
    <col min="1" max="1" width="21.08984375" style="368" customWidth="1"/>
    <col min="2" max="2" width="19.26953125" style="368" customWidth="1"/>
    <col min="3" max="3" width="23.453125" style="368" customWidth="1"/>
    <col min="4" max="4" width="26.6328125" style="368" customWidth="1"/>
    <col min="5" max="5" width="68.7265625" style="368" customWidth="1"/>
    <col min="6" max="16384" width="9" style="368"/>
  </cols>
  <sheetData>
    <row r="1" spans="1:4" ht="14.25" customHeight="1">
      <c r="A1" s="749" t="s">
        <v>1678</v>
      </c>
      <c r="B1" s="725"/>
      <c r="C1" s="725"/>
      <c r="D1" s="725"/>
    </row>
    <row r="2" spans="1:4" ht="14.25" customHeight="1">
      <c r="A2" s="382" t="s">
        <v>1846</v>
      </c>
      <c r="B2" s="414"/>
      <c r="C2" s="382" t="s">
        <v>1847</v>
      </c>
      <c r="D2" s="383"/>
    </row>
    <row r="3" spans="1:4" ht="14.25" customHeight="1">
      <c r="A3" s="382" t="s">
        <v>1845</v>
      </c>
      <c r="B3" s="414"/>
      <c r="C3" s="382" t="s">
        <v>1848</v>
      </c>
      <c r="D3" s="383"/>
    </row>
    <row r="4" spans="1:4" ht="14.25" customHeight="1">
      <c r="A4" s="382" t="s">
        <v>1844</v>
      </c>
      <c r="B4" s="414"/>
      <c r="C4" s="382" t="s">
        <v>1849</v>
      </c>
      <c r="D4" s="414"/>
    </row>
  </sheetData>
  <mergeCells count="1">
    <mergeCell ref="A1:D1"/>
  </mergeCells>
  <phoneticPr fontId="1" type="noConversion"/>
  <dataValidations count="3">
    <dataValidation type="decimal" operator="notEqual" allowBlank="1" showInputMessage="1" showErrorMessage="1" error="请输入的数字类型格式的金额！" sqref="D4">
      <formula1>-99999999999</formula1>
    </dataValidation>
    <dataValidation type="decimal" operator="notEqual" allowBlank="1" showInputMessage="1" showErrorMessage="1" error="请输入的数字类型格式的金额！" sqref="B4">
      <formula1>-9999999999999990000</formula1>
    </dataValidation>
    <dataValidation operator="notEqual" allowBlank="1" showInputMessage="1" showErrorMessage="1" error="请输入的数字类型格式的金额！" sqref="B3"/>
  </dataValidation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
  <sheetViews>
    <sheetView workbookViewId="0">
      <selection activeCell="Q41" sqref="Q41"/>
    </sheetView>
  </sheetViews>
  <sheetFormatPr defaultRowHeight="14"/>
  <sheetData/>
  <phoneticPr fontId="1" type="noConversion"/>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
  <sheetViews>
    <sheetView workbookViewId="0">
      <selection activeCell="S39" sqref="S39"/>
    </sheetView>
  </sheetViews>
  <sheetFormatPr defaultRowHeight="14"/>
  <sheetData/>
  <phoneticPr fontId="1" type="noConversion"/>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D4"/>
  <sheetViews>
    <sheetView workbookViewId="0">
      <selection activeCell="F40" sqref="F40"/>
    </sheetView>
  </sheetViews>
  <sheetFormatPr defaultRowHeight="14"/>
  <cols>
    <col min="1" max="1" width="18.90625" customWidth="1"/>
    <col min="2" max="2" width="29.08984375" customWidth="1"/>
    <col min="3" max="3" width="23.7265625" customWidth="1"/>
    <col min="4" max="4" width="34.6328125" customWidth="1"/>
    <col min="5" max="5" width="49" customWidth="1"/>
    <col min="6" max="6" width="23.90625" customWidth="1"/>
    <col min="8" max="8" width="15.90625" customWidth="1"/>
    <col min="9" max="9" width="71.7265625" customWidth="1"/>
  </cols>
  <sheetData>
    <row r="1" spans="1:4">
      <c r="A1" s="749" t="s">
        <v>1678</v>
      </c>
      <c r="B1" s="725"/>
      <c r="C1" s="725"/>
      <c r="D1" s="725"/>
    </row>
    <row r="2" spans="1:4">
      <c r="A2" s="384" t="s">
        <v>1747</v>
      </c>
      <c r="B2" s="374"/>
      <c r="C2" s="382" t="s">
        <v>1750</v>
      </c>
      <c r="D2" s="387" t="s">
        <v>1682</v>
      </c>
    </row>
    <row r="3" spans="1:4">
      <c r="A3" s="381" t="s">
        <v>1731</v>
      </c>
      <c r="B3" s="387"/>
      <c r="C3" s="381" t="s">
        <v>1739</v>
      </c>
      <c r="D3" s="387"/>
    </row>
    <row r="4" spans="1:4">
      <c r="A4" s="382" t="s">
        <v>1749</v>
      </c>
      <c r="B4" s="374" t="s">
        <v>1682</v>
      </c>
      <c r="C4" s="382" t="s">
        <v>1748</v>
      </c>
      <c r="D4" s="374"/>
    </row>
  </sheetData>
  <mergeCells count="1">
    <mergeCell ref="A1:D1"/>
  </mergeCells>
  <phoneticPr fontId="1" type="noConversion"/>
  <dataValidations count="3">
    <dataValidation type="date" operator="notEqual" allowBlank="1" showInputMessage="1" showErrorMessage="1" error="格式有误，请输入如“2017-01-01”的日期格式！" prompt="根据与委托方签订的业务约定书约定的审计范围及其他相关文件等分析填报" sqref="B2">
      <formula1>1</formula1>
    </dataValidation>
    <dataValidation type="list" allowBlank="1" showInputMessage="1" showErrorMessage="1" sqref="D2">
      <formula1>"请选择,无保留意见,保留意见,无保留意见带强调事项,否定意见,无法表示意见"</formula1>
    </dataValidation>
    <dataValidation type="list" allowBlank="1" showInputMessage="1" showErrorMessage="1" sqref="B4">
      <formula1>"请选择,是,否"</formula1>
    </dataValidation>
  </dataValidations>
  <pageMargins left="0.7" right="0.7" top="0.75" bottom="0.75" header="0.3" footer="0.3"/>
  <pageSetup paperSize="9" orientation="portrait" horizontalDpi="180" verticalDpi="18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D5"/>
  <sheetViews>
    <sheetView workbookViewId="0">
      <selection activeCell="O39" sqref="O39"/>
    </sheetView>
  </sheetViews>
  <sheetFormatPr defaultColWidth="9" defaultRowHeight="14.25" customHeight="1"/>
  <cols>
    <col min="1" max="1" width="21.36328125" style="106" customWidth="1"/>
    <col min="2" max="3" width="24.90625" style="106" customWidth="1"/>
    <col min="4" max="16384" width="9" style="106"/>
  </cols>
  <sheetData>
    <row r="1" spans="1:4" ht="14.25" customHeight="1">
      <c r="A1" s="749" t="s">
        <v>1759</v>
      </c>
      <c r="B1" s="725"/>
      <c r="C1" s="750"/>
      <c r="D1" s="750"/>
    </row>
    <row r="2" spans="1:4" ht="14.25" customHeight="1">
      <c r="A2" s="382" t="s">
        <v>1764</v>
      </c>
      <c r="B2" s="380"/>
      <c r="C2" s="382" t="s">
        <v>1767</v>
      </c>
      <c r="D2" s="380"/>
    </row>
    <row r="3" spans="1:4" ht="14.25" customHeight="1">
      <c r="A3" s="382" t="s">
        <v>1765</v>
      </c>
      <c r="B3" s="380"/>
      <c r="C3" s="382" t="s">
        <v>1760</v>
      </c>
      <c r="D3" s="380"/>
    </row>
    <row r="4" spans="1:4" ht="14.25" customHeight="1">
      <c r="A4" s="382" t="s">
        <v>1766</v>
      </c>
      <c r="B4" s="380"/>
      <c r="C4" s="382" t="s">
        <v>1761</v>
      </c>
      <c r="D4" s="380"/>
    </row>
    <row r="5" spans="1:4" ht="14.25" customHeight="1">
      <c r="A5" s="382" t="s">
        <v>1762</v>
      </c>
      <c r="B5" s="380"/>
      <c r="C5" s="382" t="s">
        <v>1763</v>
      </c>
      <c r="D5" s="380"/>
    </row>
  </sheetData>
  <mergeCells count="1">
    <mergeCell ref="A1:D1"/>
  </mergeCells>
  <phoneticPr fontId="1" type="noConversion"/>
  <dataValidations count="8">
    <dataValidation allowBlank="1" showInputMessage="1" showErrorMessage="1" prompt="根据与委托方签订的业务约定书约定的鉴证范围等分析填报" sqref="B2"/>
    <dataValidation type="date" operator="notEqual" allowBlank="1" showInputMessage="1" showErrorMessage="1" error="格式有误，请输入如“2017-01-01”的日期格式！" prompt="根据与委托方签订的业务约定书约定的鉴证范围及其他相关文件等分析填报" sqref="D2">
      <formula1>1</formula1>
    </dataValidation>
    <dataValidation type="decimal" operator="notEqual" allowBlank="1" showInputMessage="1" showErrorMessage="1" error="请输入的数字类型格式的金额！" prompt="填报鉴证项目（对象）形成的收入填报" sqref="B3">
      <formula1>-9999999999</formula1>
    </dataValidation>
    <dataValidation type="decimal" operator="notEqual" allowBlank="1" showInputMessage="1" showErrorMessage="1" error="请输入的数字类型格式的金额！" prompt="填报鉴证项目（对象）形成的支出（费用）填报" sqref="D3">
      <formula1>-99999999999999</formula1>
    </dataValidation>
    <dataValidation type="decimal" operator="notEqual" allowBlank="1" showInputMessage="1" showErrorMessage="1" error="请输入的数字类型格式的金额！" prompt="填报鉴证项目（对象）形成的利润，等于前两项金额的差。" sqref="B4">
      <formula1>-99999999999999900000</formula1>
    </dataValidation>
    <dataValidation type="decimal" operator="notEqual" allowBlank="1" showInputMessage="1" showErrorMessage="1" error="请输入的数字类型格式的金额！" prompt="填报鉴证项目（对象）形成的净资产余额。" sqref="D4">
      <formula1>-999999999999</formula1>
    </dataValidation>
    <dataValidation type="decimal" operator="notEqual" allowBlank="1" showInputMessage="1" showErrorMessage="1" error="请输入的数字类型格式的金额！" prompt="填报鉴证项目（对象）上述指标之外，其他重要的定量指标的名称。" sqref="B5">
      <formula1>-999999999999</formula1>
    </dataValidation>
    <dataValidation type="decimal" operator="notEqual" allowBlank="1" showInputMessage="1" showErrorMessage="1" error="请输入的数字类型格式的金额！" prompt="填报鉴证项目（对象）上述指标之外，其他重要的定量指标的金额。" sqref="D5">
      <formula1>-9.99999999999999E+21</formula1>
    </dataValidation>
  </dataValidations>
  <pageMargins left="0.7" right="0.7" top="0.75" bottom="0.75" header="0.3" footer="0.3"/>
  <pageSetup paperSize="9" orientation="portrait" horizontalDpi="180" verticalDpi="18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D4"/>
  <sheetViews>
    <sheetView workbookViewId="0">
      <selection sqref="A1:D1"/>
    </sheetView>
  </sheetViews>
  <sheetFormatPr defaultRowHeight="14"/>
  <cols>
    <col min="1" max="1" width="16.453125" customWidth="1"/>
    <col min="2" max="2" width="17.26953125" customWidth="1"/>
    <col min="3" max="3" width="16.6328125" customWidth="1"/>
    <col min="4" max="4" width="16.26953125" customWidth="1"/>
    <col min="6" max="6" width="20.90625" customWidth="1"/>
  </cols>
  <sheetData>
    <row r="1" spans="1:4">
      <c r="A1" s="737" t="s">
        <v>1678</v>
      </c>
      <c r="B1" s="738"/>
      <c r="C1" s="738"/>
      <c r="D1" s="724"/>
    </row>
    <row r="2" spans="1:4">
      <c r="A2" s="418" t="s">
        <v>1833</v>
      </c>
      <c r="B2" s="420">
        <v>43079</v>
      </c>
      <c r="C2" s="419" t="s">
        <v>1835</v>
      </c>
      <c r="D2" s="422" t="s">
        <v>1706</v>
      </c>
    </row>
    <row r="3" spans="1:4">
      <c r="A3" s="419" t="s">
        <v>1834</v>
      </c>
      <c r="B3" s="421" t="s">
        <v>1836</v>
      </c>
      <c r="C3" s="419"/>
      <c r="D3" s="422"/>
    </row>
    <row r="4" spans="1:4">
      <c r="A4" s="417" t="s">
        <v>1679</v>
      </c>
      <c r="B4" s="415" t="s">
        <v>1837</v>
      </c>
      <c r="C4" s="417" t="s">
        <v>1680</v>
      </c>
      <c r="D4" s="416" t="s">
        <v>1838</v>
      </c>
    </row>
  </sheetData>
  <mergeCells count="1">
    <mergeCell ref="A1:D1"/>
  </mergeCells>
  <phoneticPr fontId="1" type="noConversion"/>
  <dataValidations count="3">
    <dataValidation type="list" allowBlank="1" showInputMessage="1" showErrorMessage="1" sqref="B3">
      <formula1>"请选择,无保留意见,保留意见,无保留意见带强调事项,否定意见,无法表示意见"</formula1>
    </dataValidation>
    <dataValidation type="date" operator="notEqual" allowBlank="1" showInputMessage="1" showErrorMessage="1" error="日期格式输入有误！" sqref="B2">
      <formula1>1</formula1>
    </dataValidation>
    <dataValidation type="list" allowBlank="1" showInputMessage="1" showErrorMessage="1" sqref="D2">
      <formula1>"请选择,是,否"</formula1>
    </dataValidation>
  </dataValidations>
  <pageMargins left="0.7" right="0.7" top="0.75" bottom="0.75" header="0.3" footer="0.3"/>
  <pageSetup paperSize="9"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D10"/>
  <sheetViews>
    <sheetView workbookViewId="0">
      <selection activeCell="F40" sqref="F40"/>
    </sheetView>
  </sheetViews>
  <sheetFormatPr defaultColWidth="9" defaultRowHeight="14.25" customHeight="1"/>
  <cols>
    <col min="1" max="1" width="23.08984375" style="106" customWidth="1"/>
    <col min="2" max="2" width="24" style="106" customWidth="1"/>
    <col min="3" max="3" width="22.26953125" style="106" customWidth="1"/>
    <col min="4" max="4" width="37.6328125" style="106" customWidth="1"/>
    <col min="5" max="5" width="70.26953125" style="106" customWidth="1"/>
    <col min="6" max="16384" width="9" style="106"/>
  </cols>
  <sheetData>
    <row r="1" spans="1:4" ht="14.25" customHeight="1">
      <c r="A1" s="749" t="s">
        <v>1759</v>
      </c>
      <c r="B1" s="725"/>
      <c r="C1" s="725"/>
      <c r="D1" s="725"/>
    </row>
    <row r="2" spans="1:4" ht="14.25" customHeight="1">
      <c r="A2" s="382" t="s">
        <v>1769</v>
      </c>
      <c r="B2" s="380"/>
      <c r="C2" s="382" t="s">
        <v>1776</v>
      </c>
      <c r="D2" s="380" t="s">
        <v>1682</v>
      </c>
    </row>
    <row r="3" spans="1:4" ht="14.25" customHeight="1">
      <c r="A3" s="382" t="s">
        <v>1770</v>
      </c>
      <c r="B3" s="380"/>
      <c r="C3" s="382" t="s">
        <v>1777</v>
      </c>
      <c r="D3" s="380" t="s">
        <v>1682</v>
      </c>
    </row>
    <row r="4" spans="1:4" ht="14.25" customHeight="1">
      <c r="A4" s="382" t="s">
        <v>1771</v>
      </c>
      <c r="B4" s="380"/>
      <c r="C4" s="382" t="s">
        <v>1778</v>
      </c>
      <c r="D4" s="380"/>
    </row>
    <row r="5" spans="1:4" ht="14.25" customHeight="1">
      <c r="A5" s="382" t="s">
        <v>1772</v>
      </c>
      <c r="B5" s="380"/>
      <c r="C5" s="382" t="s">
        <v>1779</v>
      </c>
      <c r="D5" s="380"/>
    </row>
    <row r="6" spans="1:4" ht="14.25" customHeight="1">
      <c r="A6" s="382" t="s">
        <v>1773</v>
      </c>
      <c r="B6" s="380"/>
      <c r="C6" s="382" t="s">
        <v>1780</v>
      </c>
      <c r="D6" s="380"/>
    </row>
    <row r="7" spans="1:4" ht="14.25" customHeight="1">
      <c r="A7" s="382" t="s">
        <v>1869</v>
      </c>
      <c r="B7" s="380"/>
      <c r="C7" s="382" t="s">
        <v>1781</v>
      </c>
      <c r="D7" s="380"/>
    </row>
    <row r="8" spans="1:4" ht="14.25" customHeight="1">
      <c r="A8" s="382" t="s">
        <v>1774</v>
      </c>
      <c r="B8" s="380"/>
      <c r="C8" s="382" t="s">
        <v>1782</v>
      </c>
      <c r="D8" s="380"/>
    </row>
    <row r="9" spans="1:4" ht="14.25" customHeight="1">
      <c r="A9" s="382" t="s">
        <v>1775</v>
      </c>
      <c r="B9" s="380"/>
      <c r="C9" s="386" t="s">
        <v>1738</v>
      </c>
      <c r="D9" s="387" t="s">
        <v>1681</v>
      </c>
    </row>
    <row r="10" spans="1:4" ht="14.25" customHeight="1">
      <c r="A10" s="381" t="s">
        <v>1731</v>
      </c>
      <c r="B10" s="387"/>
      <c r="C10" s="381" t="s">
        <v>1768</v>
      </c>
      <c r="D10" s="387"/>
    </row>
  </sheetData>
  <mergeCells count="1">
    <mergeCell ref="A1:D1"/>
  </mergeCells>
  <phoneticPr fontId="1" type="noConversion"/>
  <dataValidations count="16">
    <dataValidation type="whole" allowBlank="1" showInputMessage="1" showErrorMessage="1" error="年度只能是正整数" prompt="请填写审计年度" sqref="B2">
      <formula1>1900</formula1>
      <formula2>2100</formula2>
    </dataValidation>
    <dataValidation type="list" allowBlank="1" showInputMessage="1" showErrorMessage="1" sqref="D2">
      <formula1>"请选择,查账征收,核定征收"</formula1>
    </dataValidation>
    <dataValidation allowBlank="1" showInputMessage="1" showErrorMessage="1" prompt="按所得税征收管理机关填写" sqref="B3"/>
    <dataValidation type="list" allowBlank="1" showInputMessage="1" showErrorMessage="1" sqref="D3">
      <formula1>"请选择,一般纳税人,小规模纳税人,非增值税纳税人"</formula1>
    </dataValidation>
    <dataValidation type="decimal" operator="notEqual" allowBlank="1" showInputMessage="1" showErrorMessage="1" error="请输入的数字类型格式的金额！" prompt="审核后主营业务收入总额" sqref="B4">
      <formula1>-999999999999</formula1>
    </dataValidation>
    <dataValidation type="decimal" operator="notEqual" allowBlank="1" showInputMessage="1" showErrorMessage="1" error="请输入的数字类型格式的金额！" prompt="审核后收入总额" sqref="D4">
      <formula1>-9.99999999999999E+21</formula1>
    </dataValidation>
    <dataValidation type="decimal" operator="notEqual" allowBlank="1" showInputMessage="1" showErrorMessage="1" error="请输入的数字类型格式的金额！" prompt="审核后的资产总额" sqref="B5">
      <formula1>-999999999999999</formula1>
    </dataValidation>
    <dataValidation type="decimal" operator="notEqual" allowBlank="1" showInputMessage="1" showErrorMessage="1" error="请输入的数字类型格式的金额！" prompt="审核后的负债总额" sqref="D5">
      <formula1>-99999999999</formula1>
    </dataValidation>
    <dataValidation type="decimal" operator="notEqual" allowBlank="1" showInputMessage="1" showErrorMessage="1" error="请输入的数字类型格式的金额！" prompt="审核后的利润总额" sqref="B6">
      <formula1>-9999999999999</formula1>
    </dataValidation>
    <dataValidation type="decimal" operator="notEqual" allowBlank="1" showInputMessage="1" showErrorMessage="1" error="请输入的数字类型格式的金额！" prompt="调整增加填正数，调整减少填负数" sqref="D6">
      <formula1>-99999999999</formula1>
    </dataValidation>
    <dataValidation type="decimal" operator="notEqual" allowBlank="1" showInputMessage="1" showErrorMessage="1" error="请输入的数字类型格式的金额！" prompt="符合条件的免税、减计收入及加计扣除总计" sqref="B7">
      <formula1>-9999999999999990</formula1>
    </dataValidation>
    <dataValidation type="decimal" operator="notEqual" allowBlank="1" showInputMessage="1" showErrorMessage="1" error="请输入的数字类型格式的金额！" prompt="减免或抵免所得税额" sqref="D7">
      <formula1>-99999999999</formula1>
    </dataValidation>
    <dataValidation type="decimal" operator="notEqual" allowBlank="1" showInputMessage="1" showErrorMessage="1" error="请输入的数字类型格式的金额！" prompt="填写弥补以前年度亏损额" sqref="B8">
      <formula1>-9999999999</formula1>
    </dataValidation>
    <dataValidation type="decimal" operator="notEqual" allowBlank="1" showInputMessage="1" showErrorMessage="1" error="请输入的数字类型格式的金额！" prompt="经审核后实际应纳企业所得税额" sqref="D8">
      <formula1>-999999999999999000</formula1>
    </dataValidation>
    <dataValidation type="decimal" operator="notEqual" allowBlank="1" showInputMessage="1" showErrorMessage="1" error="请输入的数字类型格式的金额！" prompt="应补填正数，应退填负数" sqref="B9">
      <formula1>-999999999999999000</formula1>
    </dataValidation>
    <dataValidation type="list" allowBlank="1" showInputMessage="1" showErrorMessage="1" sqref="D9">
      <formula1>"请选择,无保留意见,保留意见,无保留意见带强调事项,否定意见,无法表示意见"</formula1>
    </dataValidation>
  </dataValidations>
  <pageMargins left="0.7" right="0.7" top="0.75" bottom="0.75" header="0.3" footer="0.3"/>
  <pageSetup paperSize="9" orientation="portrait" horizontalDpi="180" verticalDpi="18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D4"/>
  <sheetViews>
    <sheetView workbookViewId="0">
      <selection activeCell="B21" sqref="B21"/>
    </sheetView>
  </sheetViews>
  <sheetFormatPr defaultColWidth="9" defaultRowHeight="14.25" customHeight="1"/>
  <cols>
    <col min="1" max="1" width="17.6328125" style="106" customWidth="1"/>
    <col min="2" max="2" width="26.90625" style="106" customWidth="1"/>
    <col min="3" max="3" width="17.453125" style="106" customWidth="1"/>
    <col min="4" max="4" width="26" style="106" customWidth="1"/>
    <col min="5" max="16384" width="9" style="106"/>
  </cols>
  <sheetData>
    <row r="1" spans="1:4" ht="14.25" customHeight="1">
      <c r="A1" s="746" t="s">
        <v>1678</v>
      </c>
      <c r="B1" s="747"/>
      <c r="C1" s="748"/>
      <c r="D1" s="748"/>
    </row>
    <row r="2" spans="1:4" ht="14.25" customHeight="1">
      <c r="A2" s="382" t="s">
        <v>1703</v>
      </c>
      <c r="B2" s="424"/>
      <c r="C2" s="382" t="s">
        <v>1704</v>
      </c>
      <c r="D2" s="424" t="s">
        <v>1682</v>
      </c>
    </row>
    <row r="3" spans="1:4" ht="14.25" customHeight="1">
      <c r="A3" s="381" t="s">
        <v>1679</v>
      </c>
      <c r="B3" s="378"/>
      <c r="C3" s="381" t="s">
        <v>1680</v>
      </c>
      <c r="D3" s="378"/>
    </row>
    <row r="4" spans="1:4" ht="14.25" customHeight="1">
      <c r="A4" s="382" t="s">
        <v>1705</v>
      </c>
      <c r="B4" s="424" t="s">
        <v>1706</v>
      </c>
      <c r="C4" s="424"/>
      <c r="D4" s="424"/>
    </row>
  </sheetData>
  <mergeCells count="1">
    <mergeCell ref="A1:D1"/>
  </mergeCells>
  <phoneticPr fontId="1" type="noConversion"/>
  <dataValidations count="3">
    <dataValidation type="list" allowBlank="1" showInputMessage="1" showErrorMessage="1" prompt="根据审计结论分析填报" sqref="B4">
      <formula1>"请选择,是,否"</formula1>
    </dataValidation>
    <dataValidation type="list" allowBlank="1" showInputMessage="1" showErrorMessage="1" sqref="D2">
      <formula1>"请选择,无保留意见,保留意见,无保留意见带强调事项,否定意见,无法表示意见"</formula1>
    </dataValidation>
    <dataValidation type="date" operator="notEqual" allowBlank="1" showInputMessage="1" showErrorMessage="1" error="格式有误，请输入如“2017-01-01”的日期格式！" prompt="根据与委托方签订的业务约定书约定的审计范围及其他相关文件等分析填报" sqref="B2">
      <formula1>1</formula1>
    </dataValidation>
  </dataValidation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D8"/>
  <sheetViews>
    <sheetView workbookViewId="0">
      <selection activeCell="A7" sqref="A7:D8"/>
    </sheetView>
  </sheetViews>
  <sheetFormatPr defaultColWidth="9" defaultRowHeight="14.25" customHeight="1"/>
  <cols>
    <col min="1" max="1" width="23.6328125" style="106" customWidth="1"/>
    <col min="2" max="2" width="21.90625" style="106" customWidth="1"/>
    <col min="3" max="3" width="25" style="106" customWidth="1"/>
    <col min="4" max="4" width="33.453125" style="106" customWidth="1"/>
    <col min="5" max="16384" width="9" style="106"/>
  </cols>
  <sheetData>
    <row r="1" spans="1:4" ht="14.25" customHeight="1">
      <c r="A1" s="657" t="s">
        <v>1678</v>
      </c>
      <c r="B1" s="657"/>
      <c r="C1" s="657"/>
      <c r="D1" s="658"/>
    </row>
    <row r="2" spans="1:4" ht="14.25" customHeight="1">
      <c r="A2" s="429" t="s">
        <v>1918</v>
      </c>
      <c r="B2" s="369" t="s">
        <v>1682</v>
      </c>
      <c r="C2" s="381" t="s">
        <v>1915</v>
      </c>
      <c r="D2" s="205" t="s">
        <v>1682</v>
      </c>
    </row>
    <row r="3" spans="1:4" ht="14.25" customHeight="1">
      <c r="A3" s="429" t="s">
        <v>1919</v>
      </c>
      <c r="B3" s="369" t="s">
        <v>1682</v>
      </c>
      <c r="C3" s="382" t="s">
        <v>1920</v>
      </c>
      <c r="D3" s="430" t="s">
        <v>1682</v>
      </c>
    </row>
    <row r="4" spans="1:4" ht="14.25" customHeight="1">
      <c r="A4" s="382" t="s">
        <v>1921</v>
      </c>
      <c r="B4" s="430" t="s">
        <v>1682</v>
      </c>
      <c r="C4" s="382" t="s">
        <v>1922</v>
      </c>
      <c r="D4" s="430" t="s">
        <v>1682</v>
      </c>
    </row>
    <row r="5" spans="1:4" ht="14.25" customHeight="1">
      <c r="A5" s="382" t="s">
        <v>1912</v>
      </c>
      <c r="B5" s="430"/>
      <c r="C5" s="382" t="s">
        <v>1917</v>
      </c>
      <c r="D5" s="430"/>
    </row>
    <row r="6" spans="1:4" ht="14.25" customHeight="1">
      <c r="A6" s="382" t="s">
        <v>1913</v>
      </c>
      <c r="B6" s="430"/>
      <c r="C6" s="382" t="s">
        <v>1916</v>
      </c>
      <c r="D6" s="430"/>
    </row>
    <row r="7" spans="1:4" ht="14.25" customHeight="1">
      <c r="A7" s="382" t="s">
        <v>1914</v>
      </c>
      <c r="B7" s="430" t="s">
        <v>1682</v>
      </c>
      <c r="C7" s="386" t="s">
        <v>1738</v>
      </c>
      <c r="D7" s="377" t="s">
        <v>1682</v>
      </c>
    </row>
    <row r="8" spans="1:4" ht="14.25" customHeight="1">
      <c r="A8" s="381" t="s">
        <v>1731</v>
      </c>
      <c r="B8" s="378"/>
      <c r="C8" s="381" t="s">
        <v>1739</v>
      </c>
      <c r="D8" s="430"/>
    </row>
  </sheetData>
  <mergeCells count="1">
    <mergeCell ref="A1:D1"/>
  </mergeCells>
  <phoneticPr fontId="1" type="noConversion"/>
  <dataValidations count="9">
    <dataValidation type="whole" operator="notEqual" allowBlank="1" showInputMessage="1" showErrorMessage="1" error="请输入整数" sqref="D5">
      <formula1>-99999</formula1>
    </dataValidation>
    <dataValidation type="whole" operator="notEqual" allowBlank="1" showInputMessage="1" showErrorMessage="1" error="请输入整数" sqref="B5">
      <formula1>-99999999</formula1>
    </dataValidation>
    <dataValidation type="list" allowBlank="1" showInputMessage="1" showErrorMessage="1" sqref="B7">
      <formula1>"请选择,不连续审计,连续审计"</formula1>
    </dataValidation>
    <dataValidation type="list" allowBlank="1" showInputMessage="1" showErrorMessage="1" sqref="B4 D4">
      <formula1>"请选择,一月,二月,三月,四月,五月,六月,七月,八月,九月,十月,十一月,十二月"</formula1>
    </dataValidation>
    <dataValidation type="list" allowBlank="1" showInputMessage="1" showErrorMessage="1" sqref="D3">
      <formula1>"请选择,一季度,二季度,三季度,四季度"</formula1>
    </dataValidation>
    <dataValidation type="list" allowBlank="1" showInputMessage="1" showErrorMessage="1" sqref="B3">
      <formula1>"请选择,1987,1988,1989,1990,1991,1992,1993,1994,1995,1996,1997,1998,1999,2000,2001,2002,2003,2004,2005,2006,2007,2008,2009,2010,2011,2012,2013,2014,2015,2016,2017,2018,2019,2020,2021,2022,2023,2024,2025,2026,2027,2028,2029,2030"</formula1>
    </dataValidation>
    <dataValidation type="list" allowBlank="1" showInputMessage="1" showErrorMessage="1" sqref="D2">
      <formula1>"请选择,年度,季度,按月份"</formula1>
    </dataValidation>
    <dataValidation type="list" allowBlank="1" showInputMessage="1" showErrorMessage="1" sqref="B2">
      <formula1>"请选择,中央企业集团,上市公司,其它公司"</formula1>
    </dataValidation>
    <dataValidation type="list" allowBlank="1" showInputMessage="1" showErrorMessage="1" sqref="D7">
      <formula1>"请选择,无保留意见,保留意见,无保留意见带强调事项,否定意见,无法表示意见"</formula1>
    </dataValidation>
  </dataValidations>
  <pageMargins left="0.7" right="0.7" top="0.75" bottom="0.75" header="0.3" footer="0.3"/>
  <pageSetup paperSize="9"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5:A41"/>
  <sheetViews>
    <sheetView workbookViewId="0">
      <selection activeCell="A39" sqref="A39"/>
    </sheetView>
  </sheetViews>
  <sheetFormatPr defaultRowHeight="14"/>
  <cols>
    <col min="1" max="1" width="69.36328125" customWidth="1"/>
  </cols>
  <sheetData>
    <row r="5" spans="1:1">
      <c r="A5" t="s">
        <v>1930</v>
      </c>
    </row>
    <row r="6" spans="1:1">
      <c r="A6" t="s">
        <v>1931</v>
      </c>
    </row>
    <row r="8" spans="1:1">
      <c r="A8" s="368" t="s">
        <v>1873</v>
      </c>
    </row>
    <row r="9" spans="1:1">
      <c r="A9" s="368" t="s">
        <v>1926</v>
      </c>
    </row>
    <row r="10" spans="1:1">
      <c r="A10" s="368" t="s">
        <v>1927</v>
      </c>
    </row>
    <row r="11" spans="1:1">
      <c r="A11" s="368" t="s">
        <v>1877</v>
      </c>
    </row>
    <row r="12" spans="1:1">
      <c r="A12" s="368" t="s">
        <v>1878</v>
      </c>
    </row>
    <row r="13" spans="1:1">
      <c r="A13" s="368" t="s">
        <v>1879</v>
      </c>
    </row>
    <row r="14" spans="1:1">
      <c r="A14" s="368" t="s">
        <v>1880</v>
      </c>
    </row>
    <row r="15" spans="1:1">
      <c r="A15" s="368" t="s">
        <v>1881</v>
      </c>
    </row>
    <row r="16" spans="1:1">
      <c r="A16" s="368" t="s">
        <v>1882</v>
      </c>
    </row>
    <row r="17" spans="1:1">
      <c r="A17" s="368" t="s">
        <v>1883</v>
      </c>
    </row>
    <row r="18" spans="1:1">
      <c r="A18" s="368" t="s">
        <v>1884</v>
      </c>
    </row>
    <row r="19" spans="1:1">
      <c r="A19" s="368" t="s">
        <v>1885</v>
      </c>
    </row>
    <row r="20" spans="1:1">
      <c r="A20" s="368" t="s">
        <v>1886</v>
      </c>
    </row>
    <row r="21" spans="1:1">
      <c r="A21" s="368" t="s">
        <v>1887</v>
      </c>
    </row>
    <row r="22" spans="1:1">
      <c r="A22" s="368" t="s">
        <v>1888</v>
      </c>
    </row>
    <row r="23" spans="1:1">
      <c r="A23" s="368" t="s">
        <v>1889</v>
      </c>
    </row>
    <row r="24" spans="1:1">
      <c r="A24" s="368" t="s">
        <v>1874</v>
      </c>
    </row>
    <row r="25" spans="1:1">
      <c r="A25" s="368" t="s">
        <v>1875</v>
      </c>
    </row>
    <row r="26" spans="1:1">
      <c r="A26" s="368" t="s">
        <v>1932</v>
      </c>
    </row>
    <row r="27" spans="1:1">
      <c r="A27" s="368" t="s">
        <v>1933</v>
      </c>
    </row>
    <row r="28" spans="1:1">
      <c r="A28" s="368" t="s">
        <v>1934</v>
      </c>
    </row>
    <row r="29" spans="1:1">
      <c r="A29" s="368" t="s">
        <v>1935</v>
      </c>
    </row>
    <row r="30" spans="1:1">
      <c r="A30" s="368" t="s">
        <v>1890</v>
      </c>
    </row>
    <row r="31" spans="1:1">
      <c r="A31" s="368" t="s">
        <v>1891</v>
      </c>
    </row>
    <row r="32" spans="1:1">
      <c r="A32" s="368" t="s">
        <v>1892</v>
      </c>
    </row>
    <row r="33" spans="1:1">
      <c r="A33" s="368" t="s">
        <v>1893</v>
      </c>
    </row>
    <row r="34" spans="1:1">
      <c r="A34" s="368" t="s">
        <v>1894</v>
      </c>
    </row>
    <row r="35" spans="1:1">
      <c r="A35" s="368" t="s">
        <v>1928</v>
      </c>
    </row>
    <row r="36" spans="1:1">
      <c r="A36" s="368" t="s">
        <v>1936</v>
      </c>
    </row>
    <row r="37" spans="1:1">
      <c r="A37" s="368" t="s">
        <v>1937</v>
      </c>
    </row>
    <row r="38" spans="1:1">
      <c r="A38" s="368" t="s">
        <v>1876</v>
      </c>
    </row>
    <row r="39" spans="1:1">
      <c r="A39" s="368" t="s">
        <v>1895</v>
      </c>
    </row>
    <row r="40" spans="1:1">
      <c r="A40" s="368" t="s">
        <v>1896</v>
      </c>
    </row>
    <row r="41" spans="1:1">
      <c r="A41" s="431" t="s">
        <v>1929</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89</vt:i4>
      </vt:variant>
    </vt:vector>
  </HeadingPairs>
  <TitlesOfParts>
    <vt:vector size="89" baseType="lpstr">
      <vt:lpstr>基础资料</vt:lpstr>
      <vt:lpstr>计时明细</vt:lpstr>
      <vt:lpstr>选择类别</vt:lpstr>
      <vt:lpstr>01业务情况</vt:lpstr>
      <vt:lpstr>01资产负债表</vt:lpstr>
      <vt:lpstr>01利润表</vt:lpstr>
      <vt:lpstr>01现金流量表</vt:lpstr>
      <vt:lpstr>02业务情况</vt:lpstr>
      <vt:lpstr>02资产负债表</vt:lpstr>
      <vt:lpstr>02利润表</vt:lpstr>
      <vt:lpstr>02现金流量表</vt:lpstr>
      <vt:lpstr>03业务情况</vt:lpstr>
      <vt:lpstr>03资产负债表</vt:lpstr>
      <vt:lpstr>03利润表</vt:lpstr>
      <vt:lpstr>03现金流量表</vt:lpstr>
      <vt:lpstr>04业务情况</vt:lpstr>
      <vt:lpstr>04资产负债表</vt:lpstr>
      <vt:lpstr>04收入支出表</vt:lpstr>
      <vt:lpstr>05业务情况</vt:lpstr>
      <vt:lpstr>05资产负债表</vt:lpstr>
      <vt:lpstr>05收入费用总表</vt:lpstr>
      <vt:lpstr>05现金流量表</vt:lpstr>
      <vt:lpstr>06业务情况</vt:lpstr>
      <vt:lpstr>06资产负债表</vt:lpstr>
      <vt:lpstr>06收入支出总表</vt:lpstr>
      <vt:lpstr>07业务情况</vt:lpstr>
      <vt:lpstr>07资产负债表</vt:lpstr>
      <vt:lpstr>07收入支出表</vt:lpstr>
      <vt:lpstr>08业务情况</vt:lpstr>
      <vt:lpstr>08资产负债表</vt:lpstr>
      <vt:lpstr>08收入支出总表</vt:lpstr>
      <vt:lpstr>09业务情况</vt:lpstr>
      <vt:lpstr>09资产负债表</vt:lpstr>
      <vt:lpstr>09收入支出表（年报）</vt:lpstr>
      <vt:lpstr>10业务情况</vt:lpstr>
      <vt:lpstr>10资产负债表</vt:lpstr>
      <vt:lpstr>10收入支出表</vt:lpstr>
      <vt:lpstr>11业务情况</vt:lpstr>
      <vt:lpstr>11资产负债表</vt:lpstr>
      <vt:lpstr>11业务活动表</vt:lpstr>
      <vt:lpstr>11现金流量表</vt:lpstr>
      <vt:lpstr>12业务情况</vt:lpstr>
      <vt:lpstr>12资产负债表</vt:lpstr>
      <vt:lpstr>12收入支出表</vt:lpstr>
      <vt:lpstr>13业务情况</vt:lpstr>
      <vt:lpstr>13资产负债表</vt:lpstr>
      <vt:lpstr>13收支表</vt:lpstr>
      <vt:lpstr>14业务情况</vt:lpstr>
      <vt:lpstr>14资产负债表</vt:lpstr>
      <vt:lpstr>14收益及收益分配表</vt:lpstr>
      <vt:lpstr>15业务情况</vt:lpstr>
      <vt:lpstr>15资产负债表</vt:lpstr>
      <vt:lpstr>15盈余及盈余分配表</vt:lpstr>
      <vt:lpstr>16业务情况</vt:lpstr>
      <vt:lpstr>17业务情况</vt:lpstr>
      <vt:lpstr>18业务情况</vt:lpstr>
      <vt:lpstr>19业务情况</vt:lpstr>
      <vt:lpstr>20业务情况</vt:lpstr>
      <vt:lpstr>21业务情况</vt:lpstr>
      <vt:lpstr>21业务情况（删）</vt:lpstr>
      <vt:lpstr>22业务情况</vt:lpstr>
      <vt:lpstr>23业务情况</vt:lpstr>
      <vt:lpstr>24业务情况</vt:lpstr>
      <vt:lpstr>25业务情况</vt:lpstr>
      <vt:lpstr>26业务情况</vt:lpstr>
      <vt:lpstr>27业务情况</vt:lpstr>
      <vt:lpstr>26-业务情况</vt:lpstr>
      <vt:lpstr>32业务情况（其他鉴证业务——企业所得税汇算清缴鉴证）</vt:lpstr>
      <vt:lpstr>28业务情况-1</vt:lpstr>
      <vt:lpstr>28业务情况</vt:lpstr>
      <vt:lpstr>29业务情况</vt:lpstr>
      <vt:lpstr>29-业务情况</vt:lpstr>
      <vt:lpstr>28-业务情况</vt:lpstr>
      <vt:lpstr>31业务情况-</vt:lpstr>
      <vt:lpstr>32业务情况-</vt:lpstr>
      <vt:lpstr>32业务情况-删</vt:lpstr>
      <vt:lpstr>30业务情况</vt:lpstr>
      <vt:lpstr>31业务情况</vt:lpstr>
      <vt:lpstr>32业务情况</vt:lpstr>
      <vt:lpstr>30-1业务情况</vt:lpstr>
      <vt:lpstr>33业务情况</vt:lpstr>
      <vt:lpstr>34业务情况</vt:lpstr>
      <vt:lpstr>35业务情况</vt:lpstr>
      <vt:lpstr>36业务情况</vt:lpstr>
      <vt:lpstr>29-9业务情况</vt:lpstr>
      <vt:lpstr>37业务情况</vt:lpstr>
      <vt:lpstr>30-业务情况</vt:lpstr>
      <vt:lpstr>Sheet4</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管理员</dc:creator>
  <cp:lastModifiedBy>SXC</cp:lastModifiedBy>
  <dcterms:created xsi:type="dcterms:W3CDTF">2017-11-18T02:53:36Z</dcterms:created>
  <dcterms:modified xsi:type="dcterms:W3CDTF">2018-08-22T03:40:32Z</dcterms:modified>
</cp:coreProperties>
</file>